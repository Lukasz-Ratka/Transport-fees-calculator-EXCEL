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kas\OneDrive\Desktop\"/>
    </mc:Choice>
  </mc:AlternateContent>
  <xr:revisionPtr revIDLastSave="0" documentId="8_{A4636A67-47E6-495E-B288-52C1D99ECA81}" xr6:coauthVersionLast="47" xr6:coauthVersionMax="47" xr10:uidLastSave="{00000000-0000-0000-0000-000000000000}"/>
  <bookViews>
    <workbookView xWindow="-120" yWindow="-120" windowWidth="29040" windowHeight="15720" xr2:uid="{C1DBC268-4A82-43DB-89A4-3E3101A4A3B6}"/>
  </bookViews>
  <sheets>
    <sheet name="Kalkulator" sheetId="6" r:id="rId1"/>
    <sheet name="Tabela cen" sheetId="1" r:id="rId2"/>
    <sheet name="Strefy" sheetId="5" r:id="rId3"/>
  </sheets>
  <definedNames>
    <definedName name="CZ">'Tabela cen'!$U$5:$Z$42</definedName>
    <definedName name="DE">'Tabela cen'!$A$5:$F$42</definedName>
    <definedName name="LV">'Tabela cen'!$L$5:$P$42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" i="1" l="1"/>
  <c r="V8" i="1" s="1"/>
  <c r="V9" i="1" s="1"/>
  <c r="V10" i="1" s="1"/>
  <c r="V11" i="1" s="1"/>
  <c r="V12" i="1" s="1"/>
  <c r="V13" i="1" s="1"/>
  <c r="V14" i="1" s="1"/>
  <c r="V15" i="1" s="1"/>
  <c r="V16" i="1" s="1"/>
  <c r="V17" i="1" s="1"/>
  <c r="V18" i="1" s="1"/>
  <c r="V19" i="1" s="1"/>
  <c r="V20" i="1" s="1"/>
  <c r="V21" i="1" s="1"/>
  <c r="V22" i="1" s="1"/>
  <c r="V23" i="1" s="1"/>
  <c r="V24" i="1" s="1"/>
  <c r="V25" i="1" s="1"/>
  <c r="V26" i="1" s="1"/>
  <c r="V27" i="1" s="1"/>
  <c r="V28" i="1" s="1"/>
  <c r="V29" i="1" s="1"/>
  <c r="V30" i="1" s="1"/>
  <c r="V31" i="1" s="1"/>
  <c r="V32" i="1" s="1"/>
  <c r="V33" i="1" s="1"/>
  <c r="V34" i="1" s="1"/>
  <c r="V35" i="1" s="1"/>
  <c r="V36" i="1" s="1"/>
  <c r="V37" i="1" s="1"/>
  <c r="V38" i="1" s="1"/>
  <c r="V39" i="1" s="1"/>
  <c r="V40" i="1" s="1"/>
  <c r="V41" i="1" s="1"/>
  <c r="M8" i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7" i="1"/>
  <c r="R22" i="6"/>
  <c r="N23" i="1"/>
  <c r="X9" i="1"/>
  <c r="W34" i="1"/>
  <c r="N37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8" i="1"/>
  <c r="N39" i="1"/>
  <c r="N40" i="1"/>
  <c r="N41" i="1"/>
  <c r="N6" i="1"/>
  <c r="C22" i="1"/>
  <c r="D21" i="1"/>
  <c r="U7" i="1"/>
  <c r="U8" i="1" s="1"/>
  <c r="U9" i="1" s="1"/>
  <c r="U10" i="1" s="1"/>
  <c r="U11" i="1" s="1"/>
  <c r="U12" i="1" s="1"/>
  <c r="U13" i="1" s="1"/>
  <c r="U14" i="1" s="1"/>
  <c r="U15" i="1" s="1"/>
  <c r="U16" i="1" s="1"/>
  <c r="U17" i="1" s="1"/>
  <c r="U18" i="1" s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U29" i="1" s="1"/>
  <c r="U30" i="1" s="1"/>
  <c r="U31" i="1" s="1"/>
  <c r="U32" i="1" s="1"/>
  <c r="U33" i="1" s="1"/>
  <c r="U34" i="1" s="1"/>
  <c r="U35" i="1" s="1"/>
  <c r="U36" i="1" s="1"/>
  <c r="U37" i="1" s="1"/>
  <c r="U38" i="1" s="1"/>
  <c r="U39" i="1" s="1"/>
  <c r="U40" i="1" s="1"/>
  <c r="U41" i="1" s="1"/>
  <c r="L7" i="1"/>
  <c r="A80" i="5"/>
  <c r="C11" i="6"/>
  <c r="F11" i="6" s="1"/>
  <c r="M7" i="6" s="1"/>
  <c r="N80" i="5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W7" i="6"/>
  <c r="V22" i="6"/>
  <c r="U22" i="6"/>
  <c r="T22" i="6"/>
  <c r="S22" i="6"/>
  <c r="W10" i="6"/>
  <c r="W13" i="6"/>
  <c r="W16" i="6"/>
  <c r="W19" i="6"/>
  <c r="A60" i="5"/>
  <c r="N61" i="5"/>
  <c r="N62" i="5" s="1"/>
  <c r="N63" i="5" s="1"/>
  <c r="N64" i="5" s="1"/>
  <c r="N65" i="5" s="1"/>
  <c r="N66" i="5" s="1"/>
  <c r="N67" i="5" s="1"/>
  <c r="N68" i="5" s="1"/>
  <c r="N69" i="5" s="1"/>
  <c r="N70" i="5" s="1"/>
  <c r="N71" i="5" s="1"/>
  <c r="N72" i="5" s="1"/>
  <c r="N73" i="5" s="1"/>
  <c r="N74" i="5" s="1"/>
  <c r="N75" i="5" s="1"/>
  <c r="N76" i="5" s="1"/>
  <c r="N77" i="5" s="1"/>
  <c r="N78" i="5" s="1"/>
  <c r="N79" i="5" s="1"/>
  <c r="N81" i="5" s="1"/>
  <c r="N82" i="5" s="1"/>
  <c r="N83" i="5" s="1"/>
  <c r="N84" i="5" s="1"/>
  <c r="N85" i="5" s="1"/>
  <c r="N86" i="5" s="1"/>
  <c r="N87" i="5" s="1"/>
  <c r="N88" i="5" s="1"/>
  <c r="N89" i="5" s="1"/>
  <c r="N90" i="5" s="1"/>
  <c r="N91" i="5" s="1"/>
  <c r="A91" i="5" s="1"/>
  <c r="A40" i="5"/>
  <c r="N41" i="5"/>
  <c r="N42" i="5" s="1"/>
  <c r="N43" i="5" s="1"/>
  <c r="N44" i="5" s="1"/>
  <c r="N45" i="5" s="1"/>
  <c r="N46" i="5" s="1"/>
  <c r="N47" i="5" s="1"/>
  <c r="N48" i="5" s="1"/>
  <c r="N49" i="5" s="1"/>
  <c r="N50" i="5" s="1"/>
  <c r="N51" i="5" s="1"/>
  <c r="N52" i="5" s="1"/>
  <c r="N53" i="5" s="1"/>
  <c r="N54" i="5" s="1"/>
  <c r="N55" i="5" s="1"/>
  <c r="N56" i="5" s="1"/>
  <c r="N57" i="5" s="1"/>
  <c r="N58" i="5" s="1"/>
  <c r="N59" i="5" s="1"/>
  <c r="A3" i="5"/>
  <c r="N4" i="5"/>
  <c r="A4" i="5" s="1"/>
  <c r="W7" i="1"/>
  <c r="X7" i="1"/>
  <c r="Y7" i="1"/>
  <c r="W8" i="1"/>
  <c r="X8" i="1"/>
  <c r="Y8" i="1"/>
  <c r="W9" i="1"/>
  <c r="Y9" i="1"/>
  <c r="W10" i="1"/>
  <c r="X10" i="1"/>
  <c r="Y10" i="1"/>
  <c r="W11" i="1"/>
  <c r="X11" i="1"/>
  <c r="Y11" i="1"/>
  <c r="W12" i="1"/>
  <c r="X12" i="1"/>
  <c r="Y12" i="1"/>
  <c r="W13" i="1"/>
  <c r="X13" i="1"/>
  <c r="Y13" i="1"/>
  <c r="W14" i="1"/>
  <c r="X14" i="1"/>
  <c r="Y14" i="1"/>
  <c r="W15" i="1"/>
  <c r="X15" i="1"/>
  <c r="Y15" i="1"/>
  <c r="W16" i="1"/>
  <c r="X16" i="1"/>
  <c r="Y16" i="1"/>
  <c r="W17" i="1"/>
  <c r="X17" i="1"/>
  <c r="Y17" i="1"/>
  <c r="W18" i="1"/>
  <c r="X18" i="1"/>
  <c r="Y18" i="1"/>
  <c r="W19" i="1"/>
  <c r="X19" i="1"/>
  <c r="Y19" i="1"/>
  <c r="W20" i="1"/>
  <c r="X20" i="1"/>
  <c r="Y20" i="1"/>
  <c r="W21" i="1"/>
  <c r="X21" i="1"/>
  <c r="Y21" i="1"/>
  <c r="W22" i="1"/>
  <c r="X22" i="1"/>
  <c r="Y22" i="1"/>
  <c r="W23" i="1"/>
  <c r="X23" i="1"/>
  <c r="Y23" i="1"/>
  <c r="W24" i="1"/>
  <c r="X24" i="1"/>
  <c r="Y24" i="1"/>
  <c r="W25" i="1"/>
  <c r="X25" i="1"/>
  <c r="Y25" i="1"/>
  <c r="W26" i="1"/>
  <c r="X26" i="1"/>
  <c r="Y26" i="1"/>
  <c r="W27" i="1"/>
  <c r="X27" i="1"/>
  <c r="Y27" i="1"/>
  <c r="W28" i="1"/>
  <c r="X28" i="1"/>
  <c r="Y28" i="1"/>
  <c r="W29" i="1"/>
  <c r="X29" i="1"/>
  <c r="Y29" i="1"/>
  <c r="W30" i="1"/>
  <c r="X30" i="1"/>
  <c r="Y30" i="1"/>
  <c r="W31" i="1"/>
  <c r="X31" i="1"/>
  <c r="Y31" i="1"/>
  <c r="W32" i="1"/>
  <c r="X32" i="1"/>
  <c r="Y32" i="1"/>
  <c r="W33" i="1"/>
  <c r="X33" i="1"/>
  <c r="Y33" i="1"/>
  <c r="X34" i="1"/>
  <c r="Y34" i="1"/>
  <c r="W35" i="1"/>
  <c r="X35" i="1"/>
  <c r="Y35" i="1"/>
  <c r="W36" i="1"/>
  <c r="X36" i="1"/>
  <c r="Y36" i="1"/>
  <c r="W37" i="1"/>
  <c r="X37" i="1"/>
  <c r="Y37" i="1"/>
  <c r="W38" i="1"/>
  <c r="X38" i="1"/>
  <c r="Y38" i="1"/>
  <c r="W39" i="1"/>
  <c r="X39" i="1"/>
  <c r="Y39" i="1"/>
  <c r="W40" i="1"/>
  <c r="X40" i="1"/>
  <c r="Y40" i="1"/>
  <c r="W41" i="1"/>
  <c r="X41" i="1"/>
  <c r="Y41" i="1"/>
  <c r="X6" i="1"/>
  <c r="Y6" i="1"/>
  <c r="W6" i="1"/>
  <c r="C6" i="1"/>
  <c r="L8" i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E37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36" i="1"/>
  <c r="E36" i="1"/>
  <c r="D37" i="1"/>
  <c r="D38" i="1"/>
  <c r="E38" i="1"/>
  <c r="D39" i="1"/>
  <c r="E39" i="1"/>
  <c r="D40" i="1"/>
  <c r="E40" i="1"/>
  <c r="D41" i="1"/>
  <c r="E41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U24" i="6" l="1"/>
  <c r="W22" i="6"/>
  <c r="N5" i="5"/>
  <c r="N6" i="5" s="1"/>
  <c r="N7" i="5" s="1"/>
  <c r="N8" i="5" s="1"/>
  <c r="N9" i="5" s="1"/>
  <c r="N10" i="5" s="1"/>
  <c r="N11" i="5" s="1"/>
  <c r="N12" i="5" s="1"/>
  <c r="N13" i="5" s="1"/>
  <c r="N14" i="5" s="1"/>
  <c r="N15" i="5" s="1"/>
  <c r="N16" i="5" s="1"/>
  <c r="N17" i="5" s="1"/>
  <c r="N18" i="5" s="1"/>
  <c r="N19" i="5" s="1"/>
  <c r="N20" i="5" s="1"/>
  <c r="N21" i="5" s="1"/>
  <c r="N22" i="5" s="1"/>
  <c r="N23" i="5" s="1"/>
  <c r="N24" i="5" s="1"/>
  <c r="N25" i="5" s="1"/>
  <c r="N26" i="5" s="1"/>
  <c r="N27" i="5" s="1"/>
  <c r="A76" i="5"/>
  <c r="A16" i="5"/>
  <c r="A12" i="5"/>
  <c r="A47" i="5"/>
  <c r="A88" i="5"/>
  <c r="A72" i="5"/>
  <c r="A24" i="5"/>
  <c r="A8" i="5"/>
  <c r="A59" i="5"/>
  <c r="A43" i="5"/>
  <c r="A84" i="5"/>
  <c r="A68" i="5"/>
  <c r="A51" i="5"/>
  <c r="A20" i="5"/>
  <c r="A55" i="5"/>
  <c r="A64" i="5"/>
  <c r="N28" i="5"/>
  <c r="A27" i="5"/>
  <c r="A23" i="5"/>
  <c r="A19" i="5"/>
  <c r="A15" i="5"/>
  <c r="A11" i="5"/>
  <c r="A7" i="5"/>
  <c r="A58" i="5"/>
  <c r="A54" i="5"/>
  <c r="A50" i="5"/>
  <c r="A46" i="5"/>
  <c r="A42" i="5"/>
  <c r="A87" i="5"/>
  <c r="A83" i="5"/>
  <c r="A79" i="5"/>
  <c r="A75" i="5"/>
  <c r="A71" i="5"/>
  <c r="A67" i="5"/>
  <c r="A63" i="5"/>
  <c r="A26" i="5"/>
  <c r="A22" i="5"/>
  <c r="A18" i="5"/>
  <c r="A14" i="5"/>
  <c r="A10" i="5"/>
  <c r="A6" i="5"/>
  <c r="A57" i="5"/>
  <c r="A53" i="5"/>
  <c r="A49" i="5"/>
  <c r="A45" i="5"/>
  <c r="A41" i="5"/>
  <c r="A90" i="5"/>
  <c r="A86" i="5"/>
  <c r="A82" i="5"/>
  <c r="A78" i="5"/>
  <c r="A74" i="5"/>
  <c r="A70" i="5"/>
  <c r="A66" i="5"/>
  <c r="A62" i="5"/>
  <c r="A25" i="5"/>
  <c r="A21" i="5"/>
  <c r="A17" i="5"/>
  <c r="A13" i="5"/>
  <c r="A9" i="5"/>
  <c r="A5" i="5"/>
  <c r="A56" i="5"/>
  <c r="A52" i="5"/>
  <c r="A48" i="5"/>
  <c r="A44" i="5"/>
  <c r="A89" i="5"/>
  <c r="A85" i="5"/>
  <c r="A81" i="5"/>
  <c r="A77" i="5"/>
  <c r="A73" i="5"/>
  <c r="A69" i="5"/>
  <c r="A65" i="5"/>
  <c r="A61" i="5"/>
  <c r="C18" i="6"/>
  <c r="F18" i="6" l="1"/>
  <c r="N29" i="5"/>
  <c r="A28" i="5"/>
  <c r="N30" i="5" l="1"/>
  <c r="A29" i="5"/>
  <c r="N31" i="5" l="1"/>
  <c r="A30" i="5"/>
  <c r="N32" i="5" l="1"/>
  <c r="A31" i="5"/>
  <c r="N33" i="5" l="1"/>
  <c r="A32" i="5"/>
  <c r="N34" i="5" l="1"/>
  <c r="A33" i="5"/>
  <c r="N35" i="5" l="1"/>
  <c r="A34" i="5"/>
  <c r="N36" i="5" l="1"/>
  <c r="A35" i="5"/>
  <c r="A36" i="5" l="1"/>
  <c r="N37" i="5"/>
  <c r="N38" i="5" l="1"/>
  <c r="A37" i="5"/>
  <c r="A38" i="5" l="1"/>
  <c r="N39" i="5"/>
  <c r="A39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C3457B-E941-45D4-AAD4-7E0F8689A11E}" keepAlive="1" name="Zapytanie — kraje" description="Połączenie z zapytaniem „kraje” w skoroszycie." type="5" refreshedVersion="8" background="1" saveData="1">
    <dbPr connection="Provider=Microsoft.Mashup.OleDb.1;Data Source=$Workbook$;Location=kraje;Extended Properties=&quot;&quot;" command="SELECT * FROM [kraje]"/>
  </connection>
  <connection id="2" xr16:uid="{E97AF45F-FA87-4BE5-8CFD-9364F582B1E7}" keepAlive="1" name="Zapytanie — kraje 2" description="Połączenie z zapytaniem „kraje 2” w skoroszycie." type="5" refreshedVersion="8" background="1" saveData="1">
    <dbPr connection="Provider=Microsoft.Mashup.OleDb.1;Data Source=$Workbook$;Location=&quot;kraje 2&quot;;Extended Properties=&quot;&quot;" command="SELECT * FROM [kraje 2]"/>
  </connection>
  <connection id="3" xr16:uid="{18BF4935-116F-4E51-B70D-8A505E4647EF}" keepAlive="1" name="Zapytanie — kraje 3" description="Połączenie z zapytaniem „kraje 3” w skoroszycie." type="5" refreshedVersion="8" background="1" saveData="1">
    <dbPr connection="Provider=Microsoft.Mashup.OleDb.1;Data Source=$Workbook$;Location=&quot;kraje 3&quot;;Extended Properties=&quot;&quot;" command="SELECT * FROM [kraje 3]"/>
  </connection>
</connections>
</file>

<file path=xl/sharedStrings.xml><?xml version="1.0" encoding="utf-8"?>
<sst xmlns="http://schemas.openxmlformats.org/spreadsheetml/2006/main" count="52" uniqueCount="35">
  <si>
    <t>Waga</t>
  </si>
  <si>
    <t>Strefa</t>
  </si>
  <si>
    <t>Kod pocztowy</t>
  </si>
  <si>
    <t>10-22, 25</t>
  </si>
  <si>
    <t>23-24, 26-34,36,39</t>
  </si>
  <si>
    <t>25,35,37-38, 40-46</t>
  </si>
  <si>
    <t>Niemcy</t>
  </si>
  <si>
    <t>Czechy</t>
  </si>
  <si>
    <t>10-15,17</t>
  </si>
  <si>
    <t>10-20,24</t>
  </si>
  <si>
    <t>21-23,25-31</t>
  </si>
  <si>
    <t>32-41</t>
  </si>
  <si>
    <t>DE</t>
  </si>
  <si>
    <t>LV</t>
  </si>
  <si>
    <t>CZ</t>
  </si>
  <si>
    <t>Kod</t>
  </si>
  <si>
    <t>16,18-29</t>
  </si>
  <si>
    <t>Kraj</t>
  </si>
  <si>
    <t>Łotwa</t>
  </si>
  <si>
    <t>Znak państwa</t>
  </si>
  <si>
    <t>Id</t>
  </si>
  <si>
    <t>Dopłata 1</t>
  </si>
  <si>
    <t>Dopłata 2</t>
  </si>
  <si>
    <t>Lp</t>
  </si>
  <si>
    <t>Ilość palet</t>
  </si>
  <si>
    <t>Waga brutto (kg)</t>
  </si>
  <si>
    <t>CBM</t>
  </si>
  <si>
    <t>Waga obciążeniowa dla przesyłki:</t>
  </si>
  <si>
    <t>SUMA</t>
  </si>
  <si>
    <t>Długość (m)</t>
  </si>
  <si>
    <t>Wysokość (m)</t>
  </si>
  <si>
    <t>Szerokość (m)</t>
  </si>
  <si>
    <t>Cena bez dopłat (€)</t>
  </si>
  <si>
    <t>Cena z dopłatami (€)</t>
  </si>
  <si>
    <t>Dane wejściowe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</si>
</sst>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38"/>
      <scheme val="minor"/>
    </font>
    <font>
      <sz val="14"/>
      <color theme="1"/>
      <name val="Aptos Narrow"/>
      <family val="2"/>
      <charset val="238"/>
      <scheme val="minor"/>
    </font>
    <font>
      <b/>
      <u/>
      <sz val="18"/>
      <color theme="1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5" tint="0.79998168889431442"/>
        <bgColor indexed="65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13" borderId="0" applyNumberFormat="0" applyBorder="0" applyAlignment="0" applyProtection="0"/>
  </cellStyleXfs>
  <cellXfs count="40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1" xfId="0" applyFill="1" applyBorder="1"/>
    <xf numFmtId="0" fontId="0" fillId="2" borderId="1" xfId="0" applyFill="1" applyBorder="1"/>
    <xf numFmtId="0" fontId="0" fillId="2" borderId="2" xfId="0" applyFill="1" applyBorder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2" borderId="1" xfId="0" applyFill="1" applyBorder="1" applyAlignment="1">
      <alignment horizontal="center" vertical="center"/>
    </xf>
    <xf numFmtId="4" fontId="0" fillId="6" borderId="1" xfId="0" applyNumberFormat="1" applyFill="1" applyBorder="1"/>
    <xf numFmtId="9" fontId="0" fillId="4" borderId="4" xfId="0" applyNumberFormat="1" applyFill="1" applyBorder="1" applyProtection="1">
      <protection locked="0"/>
    </xf>
    <xf numFmtId="9" fontId="0" fillId="4" borderId="1" xfId="0" applyNumberFormat="1" applyFill="1" applyBorder="1" applyProtection="1">
      <protection locked="0"/>
    </xf>
    <xf numFmtId="0" fontId="2" fillId="1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" fontId="0" fillId="12" borderId="1" xfId="0" applyNumberFormat="1" applyFill="1" applyBorder="1" applyAlignment="1">
      <alignment horizontal="center" vertical="center" wrapText="1"/>
    </xf>
    <xf numFmtId="0" fontId="0" fillId="11" borderId="3" xfId="0" applyFill="1" applyBorder="1" applyAlignment="1" applyProtection="1">
      <alignment horizontal="center" vertical="center" wrapText="1"/>
      <protection locked="0"/>
    </xf>
    <xf numFmtId="0" fontId="0" fillId="11" borderId="6" xfId="0" applyFill="1" applyBorder="1" applyAlignment="1" applyProtection="1">
      <alignment horizontal="center" vertical="center" wrapText="1"/>
      <protection locked="0"/>
    </xf>
    <xf numFmtId="0" fontId="0" fillId="11" borderId="4" xfId="0" applyFill="1" applyBorder="1" applyAlignment="1" applyProtection="1">
      <alignment horizontal="center" vertical="center" wrapText="1"/>
      <protection locked="0"/>
    </xf>
    <xf numFmtId="9" fontId="0" fillId="4" borderId="1" xfId="0" applyNumberFormat="1" applyFill="1" applyBorder="1" applyAlignment="1" applyProtection="1">
      <alignment horizontal="center" vertical="center" wrapText="1"/>
      <protection locked="0"/>
    </xf>
    <xf numFmtId="0" fontId="0" fillId="4" borderId="1" xfId="0" applyFill="1" applyBorder="1" applyAlignment="1" applyProtection="1">
      <alignment horizontal="center" vertical="center" wrapText="1"/>
      <protection locked="0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 wrapText="1"/>
    </xf>
    <xf numFmtId="0" fontId="0" fillId="12" borderId="6" xfId="0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0" fillId="11" borderId="1" xfId="0" applyFill="1" applyBorder="1" applyAlignment="1" applyProtection="1">
      <alignment horizontal="center" vertical="center"/>
      <protection locked="0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7" borderId="2" xfId="0" applyFill="1" applyBorder="1" applyAlignment="1">
      <alignment horizontal="center" vertical="center" wrapText="1"/>
    </xf>
    <xf numFmtId="9" fontId="0" fillId="5" borderId="1" xfId="0" applyNumberFormat="1" applyFill="1" applyBorder="1" applyProtection="1">
      <protection locked="0"/>
    </xf>
    <xf numFmtId="0" fontId="0" fillId="0" borderId="1" xfId="0" applyBorder="1" applyAlignment="1">
      <alignment horizontal="center"/>
    </xf>
    <xf numFmtId="0" fontId="3" fillId="13" borderId="1" xfId="1" applyBorder="1"/>
    <xf numFmtId="2" fontId="3" fillId="13" borderId="1" xfId="1" applyNumberFormat="1" applyBorder="1" applyProtection="1">
      <protection locked="0"/>
    </xf>
    <xf numFmtId="0" fontId="3" fillId="13" borderId="1" xfId="1" applyBorder="1" applyProtection="1">
      <protection locked="0"/>
    </xf>
    <xf numFmtId="0" fontId="4" fillId="0" borderId="0" xfId="0" applyFont="1" applyProtection="1">
      <protection locked="0"/>
    </xf>
    <xf numFmtId="0" fontId="4" fillId="0" borderId="0" xfId="0" applyFont="1"/>
  </cellXfs>
  <cellStyles count="2">
    <cellStyle name="20% — akcent 2" xfId="1" builtinId="34"/>
    <cellStyle name="Normalny" xfId="0" builtinId="0"/>
  </cellStyles>
  <dxfs count="6"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Drop" dropStyle="combo" dx="22" fmlaLink="$E$8" fmlaRange="$F$2:$F$4" noThreeD="1" sel="1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104775</xdr:colOff>
          <xdr:row>6</xdr:row>
          <xdr:rowOff>161925</xdr:rowOff>
        </xdr:from>
        <xdr:to>
          <xdr:col>3</xdr:col>
          <xdr:colOff>523875</xdr:colOff>
          <xdr:row>8</xdr:row>
          <xdr:rowOff>28575</xdr:rowOff>
        </xdr:to>
        <xdr:sp macro="" textlink="">
          <xdr:nvSpPr>
            <xdr:cNvPr id="6145" name="Drop Down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5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D8071-5B74-4DD6-A1CD-5F8D64A5A54F}">
  <sheetPr>
    <tabColor rgb="FFFFC000"/>
  </sheetPr>
  <dimension ref="B2:W26"/>
  <sheetViews>
    <sheetView tabSelected="1" workbookViewId="0">
      <selection activeCell="H29" sqref="H29"/>
    </sheetView>
  </sheetViews>
  <sheetFormatPr defaultRowHeight="15" x14ac:dyDescent="0.25"/>
  <cols>
    <col min="5" max="5" width="10.42578125" customWidth="1"/>
    <col min="19" max="19" width="10.28515625" customWidth="1"/>
    <col min="21" max="22" width="9.85546875" bestFit="1" customWidth="1"/>
  </cols>
  <sheetData>
    <row r="2" spans="2:23" x14ac:dyDescent="0.25">
      <c r="D2" s="39">
        <v>1</v>
      </c>
      <c r="E2" s="39" t="s">
        <v>12</v>
      </c>
      <c r="F2" s="39" t="s">
        <v>6</v>
      </c>
    </row>
    <row r="3" spans="2:23" x14ac:dyDescent="0.25">
      <c r="D3" s="39">
        <v>2</v>
      </c>
      <c r="E3" s="39" t="s">
        <v>13</v>
      </c>
      <c r="F3" s="39" t="s">
        <v>18</v>
      </c>
    </row>
    <row r="4" spans="2:23" x14ac:dyDescent="0.25">
      <c r="D4" s="39">
        <v>3</v>
      </c>
      <c r="E4" s="39" t="s">
        <v>14</v>
      </c>
      <c r="F4" s="39" t="s">
        <v>7</v>
      </c>
      <c r="Q4" s="22" t="s">
        <v>23</v>
      </c>
      <c r="R4" s="22" t="s">
        <v>24</v>
      </c>
      <c r="S4" s="22" t="s">
        <v>25</v>
      </c>
      <c r="T4" s="22" t="s">
        <v>29</v>
      </c>
      <c r="U4" s="22" t="s">
        <v>30</v>
      </c>
      <c r="V4" s="22" t="s">
        <v>31</v>
      </c>
      <c r="W4" s="23" t="s">
        <v>26</v>
      </c>
    </row>
    <row r="5" spans="2:23" x14ac:dyDescent="0.25">
      <c r="Q5" s="22"/>
      <c r="R5" s="22"/>
      <c r="S5" s="22"/>
      <c r="T5" s="22"/>
      <c r="U5" s="22"/>
      <c r="V5" s="22"/>
      <c r="W5" s="23"/>
    </row>
    <row r="6" spans="2:23" x14ac:dyDescent="0.25">
      <c r="Q6" s="22"/>
      <c r="R6" s="22"/>
      <c r="S6" s="22"/>
      <c r="T6" s="22"/>
      <c r="U6" s="22"/>
      <c r="V6" s="22"/>
      <c r="W6" s="23"/>
    </row>
    <row r="7" spans="2:23" x14ac:dyDescent="0.25">
      <c r="B7" s="15" t="s">
        <v>17</v>
      </c>
      <c r="C7" s="30"/>
      <c r="D7" s="31"/>
      <c r="H7" s="15" t="s">
        <v>2</v>
      </c>
      <c r="I7" s="27">
        <v>22</v>
      </c>
      <c r="L7" s="15" t="s">
        <v>1</v>
      </c>
      <c r="M7" s="28">
        <f>VLOOKUP(F11,Strefy!$A$3:$B$91,2,0)</f>
        <v>1</v>
      </c>
      <c r="Q7" s="22">
        <v>1</v>
      </c>
      <c r="R7" s="17">
        <v>2</v>
      </c>
      <c r="S7" s="17">
        <v>555</v>
      </c>
      <c r="T7" s="17">
        <v>1</v>
      </c>
      <c r="U7" s="17">
        <v>0.3</v>
      </c>
      <c r="V7" s="17">
        <v>1</v>
      </c>
      <c r="W7" s="24">
        <f>R7*T7*U7*V7</f>
        <v>0.6</v>
      </c>
    </row>
    <row r="8" spans="2:23" x14ac:dyDescent="0.25">
      <c r="B8" s="15"/>
      <c r="C8" s="30"/>
      <c r="D8" s="31"/>
      <c r="E8" s="38">
        <v>1</v>
      </c>
      <c r="H8" s="15"/>
      <c r="I8" s="27"/>
      <c r="L8" s="15"/>
      <c r="M8" s="28"/>
      <c r="Q8" s="22"/>
      <c r="R8" s="18"/>
      <c r="S8" s="18"/>
      <c r="T8" s="18"/>
      <c r="U8" s="18"/>
      <c r="V8" s="18"/>
      <c r="W8" s="25"/>
    </row>
    <row r="9" spans="2:23" x14ac:dyDescent="0.25">
      <c r="B9" s="15"/>
      <c r="C9" s="30"/>
      <c r="D9" s="31"/>
      <c r="H9" s="15"/>
      <c r="I9" s="27"/>
      <c r="L9" s="15"/>
      <c r="M9" s="28"/>
      <c r="Q9" s="22"/>
      <c r="R9" s="19"/>
      <c r="S9" s="19"/>
      <c r="T9" s="19"/>
      <c r="U9" s="19"/>
      <c r="V9" s="19"/>
      <c r="W9" s="26"/>
    </row>
    <row r="10" spans="2:23" x14ac:dyDescent="0.25">
      <c r="Q10" s="22">
        <v>2</v>
      </c>
      <c r="R10" s="17">
        <v>2</v>
      </c>
      <c r="S10" s="17">
        <v>200</v>
      </c>
      <c r="T10" s="17">
        <v>1</v>
      </c>
      <c r="U10" s="17">
        <v>1</v>
      </c>
      <c r="V10" s="17">
        <v>1.3</v>
      </c>
      <c r="W10" s="24">
        <f t="shared" ref="W10" si="0">R10*T10*U10*V10</f>
        <v>2.6</v>
      </c>
    </row>
    <row r="11" spans="2:23" x14ac:dyDescent="0.25">
      <c r="B11" s="15" t="s">
        <v>19</v>
      </c>
      <c r="C11" s="29" t="str">
        <f>VLOOKUP(E8,D2:E4,2)</f>
        <v>DE</v>
      </c>
      <c r="E11" s="15" t="s">
        <v>20</v>
      </c>
      <c r="F11" s="28" t="str">
        <f>C11&amp;"_"&amp;I7&amp;IF(C11="LV","00","000")</f>
        <v>DE_22000</v>
      </c>
      <c r="Q11" s="22"/>
      <c r="R11" s="18"/>
      <c r="S11" s="18"/>
      <c r="T11" s="18"/>
      <c r="U11" s="18"/>
      <c r="V11" s="18"/>
      <c r="W11" s="25"/>
    </row>
    <row r="12" spans="2:23" x14ac:dyDescent="0.25">
      <c r="B12" s="15"/>
      <c r="C12" s="29"/>
      <c r="E12" s="15"/>
      <c r="F12" s="28"/>
      <c r="Q12" s="22"/>
      <c r="R12" s="19"/>
      <c r="S12" s="19"/>
      <c r="T12" s="19"/>
      <c r="U12" s="19"/>
      <c r="V12" s="19"/>
      <c r="W12" s="26"/>
    </row>
    <row r="13" spans="2:23" x14ac:dyDescent="0.25">
      <c r="B13" s="15"/>
      <c r="C13" s="29"/>
      <c r="E13" s="15"/>
      <c r="F13" s="28"/>
      <c r="Q13" s="22">
        <v>3</v>
      </c>
      <c r="R13" s="17">
        <v>1</v>
      </c>
      <c r="S13" s="17">
        <v>300</v>
      </c>
      <c r="T13" s="17">
        <v>0.5</v>
      </c>
      <c r="U13" s="17">
        <v>0.2</v>
      </c>
      <c r="V13" s="17">
        <v>1</v>
      </c>
      <c r="W13" s="24">
        <f t="shared" ref="W13" si="1">R13*T13*U13*V13</f>
        <v>0.1</v>
      </c>
    </row>
    <row r="14" spans="2:23" x14ac:dyDescent="0.25">
      <c r="Q14" s="22"/>
      <c r="R14" s="18"/>
      <c r="S14" s="18"/>
      <c r="T14" s="18"/>
      <c r="U14" s="18"/>
      <c r="V14" s="18"/>
      <c r="W14" s="25"/>
    </row>
    <row r="15" spans="2:23" x14ac:dyDescent="0.25">
      <c r="H15" s="15" t="s">
        <v>21</v>
      </c>
      <c r="I15" s="20">
        <v>0.1</v>
      </c>
      <c r="L15" s="15" t="s">
        <v>22</v>
      </c>
      <c r="M15" s="20">
        <v>0.03</v>
      </c>
      <c r="Q15" s="22"/>
      <c r="R15" s="19"/>
      <c r="S15" s="19"/>
      <c r="T15" s="19"/>
      <c r="U15" s="19"/>
      <c r="V15" s="19"/>
      <c r="W15" s="26"/>
    </row>
    <row r="16" spans="2:23" x14ac:dyDescent="0.25">
      <c r="H16" s="15"/>
      <c r="I16" s="21"/>
      <c r="L16" s="15"/>
      <c r="M16" s="21"/>
      <c r="Q16" s="22">
        <v>4</v>
      </c>
      <c r="R16" s="17"/>
      <c r="S16" s="17"/>
      <c r="T16" s="17"/>
      <c r="U16" s="17"/>
      <c r="V16" s="17"/>
      <c r="W16" s="24">
        <f t="shared" ref="W16" si="2">R16*T16*U16*V16</f>
        <v>0</v>
      </c>
    </row>
    <row r="17" spans="2:23" x14ac:dyDescent="0.25">
      <c r="Q17" s="22"/>
      <c r="R17" s="18"/>
      <c r="S17" s="18"/>
      <c r="T17" s="18"/>
      <c r="U17" s="18"/>
      <c r="V17" s="18"/>
      <c r="W17" s="25"/>
    </row>
    <row r="18" spans="2:23" x14ac:dyDescent="0.25">
      <c r="B18" s="15" t="s">
        <v>32</v>
      </c>
      <c r="C18" s="16">
        <f ca="1">VLOOKUP(Kalkulator!$U$24,INDIRECT(C11),$M$7+2)</f>
        <v>126.69046100000001</v>
      </c>
      <c r="E18" s="15" t="s">
        <v>33</v>
      </c>
      <c r="F18" s="16">
        <f ca="1">C18+C18*(I15+M15)</f>
        <v>143.16022093000001</v>
      </c>
      <c r="Q18" s="22"/>
      <c r="R18" s="19"/>
      <c r="S18" s="19"/>
      <c r="T18" s="19"/>
      <c r="U18" s="19"/>
      <c r="V18" s="19"/>
      <c r="W18" s="26"/>
    </row>
    <row r="19" spans="2:23" x14ac:dyDescent="0.25">
      <c r="B19" s="15"/>
      <c r="C19" s="16"/>
      <c r="E19" s="15"/>
      <c r="F19" s="16"/>
      <c r="Q19" s="22">
        <v>5</v>
      </c>
      <c r="R19" s="17"/>
      <c r="S19" s="17"/>
      <c r="T19" s="17"/>
      <c r="U19" s="17"/>
      <c r="V19" s="17"/>
      <c r="W19" s="24">
        <f t="shared" ref="W19" si="3">R19*T19*U19*V19</f>
        <v>0</v>
      </c>
    </row>
    <row r="20" spans="2:23" x14ac:dyDescent="0.25">
      <c r="B20" s="15"/>
      <c r="C20" s="16"/>
      <c r="E20" s="15"/>
      <c r="F20" s="16"/>
      <c r="Q20" s="22"/>
      <c r="R20" s="18"/>
      <c r="S20" s="18"/>
      <c r="T20" s="18"/>
      <c r="U20" s="18"/>
      <c r="V20" s="18"/>
      <c r="W20" s="25"/>
    </row>
    <row r="21" spans="2:23" x14ac:dyDescent="0.25">
      <c r="Q21" s="22"/>
      <c r="R21" s="19"/>
      <c r="S21" s="19"/>
      <c r="T21" s="19"/>
      <c r="U21" s="19"/>
      <c r="V21" s="19"/>
      <c r="W21" s="26"/>
    </row>
    <row r="22" spans="2:23" x14ac:dyDescent="0.25">
      <c r="Q22" s="9" t="s">
        <v>28</v>
      </c>
      <c r="R22" s="9">
        <f>SUM(R7:R21)</f>
        <v>5</v>
      </c>
      <c r="S22" s="9">
        <f t="shared" ref="S22:W22" si="4">SUM(S7:S21)</f>
        <v>1055</v>
      </c>
      <c r="T22" s="9">
        <f t="shared" si="4"/>
        <v>2.5</v>
      </c>
      <c r="U22" s="9">
        <f t="shared" si="4"/>
        <v>1.5</v>
      </c>
      <c r="V22" s="9">
        <f t="shared" si="4"/>
        <v>3.3</v>
      </c>
      <c r="W22" s="9">
        <f t="shared" si="4"/>
        <v>3.3000000000000003</v>
      </c>
    </row>
    <row r="24" spans="2:23" x14ac:dyDescent="0.25">
      <c r="Q24" s="14" t="s">
        <v>27</v>
      </c>
      <c r="R24" s="14"/>
      <c r="S24" s="14"/>
      <c r="T24" s="14"/>
      <c r="U24" s="13">
        <f>IF(IF(SUM(S7:S21)&gt;SUM(W7:W21)*250,SUM(S7:S21),SUM(W7:W21)*250)&lt;2500,IF(SUM(S7:S21)&gt;SUM(W7:W21)*250,SUM(S7:S21),SUM(W7:W21)*250),"ZA DUŻY ŁADUNEK")</f>
        <v>1055</v>
      </c>
      <c r="V24" s="13"/>
    </row>
    <row r="25" spans="2:23" x14ac:dyDescent="0.25">
      <c r="Q25" s="14"/>
      <c r="R25" s="14"/>
      <c r="S25" s="14"/>
      <c r="T25" s="14"/>
      <c r="U25" s="13"/>
      <c r="V25" s="13"/>
    </row>
    <row r="26" spans="2:23" x14ac:dyDescent="0.25">
      <c r="Q26" s="14"/>
      <c r="R26" s="14"/>
      <c r="S26" s="14"/>
      <c r="T26" s="14"/>
      <c r="U26" s="13"/>
      <c r="V26" s="13"/>
    </row>
  </sheetData>
  <sheetProtection sort="0" autoFilter="0"/>
  <mergeCells count="62">
    <mergeCell ref="B11:B13"/>
    <mergeCell ref="C11:C13"/>
    <mergeCell ref="E11:E13"/>
    <mergeCell ref="F11:F13"/>
    <mergeCell ref="C7:D9"/>
    <mergeCell ref="B7:B9"/>
    <mergeCell ref="H7:H9"/>
    <mergeCell ref="I7:I9"/>
    <mergeCell ref="L7:L9"/>
    <mergeCell ref="M7:M9"/>
    <mergeCell ref="Q13:Q15"/>
    <mergeCell ref="U10:U12"/>
    <mergeCell ref="T4:T6"/>
    <mergeCell ref="Q7:Q9"/>
    <mergeCell ref="Q10:Q12"/>
    <mergeCell ref="U4:U6"/>
    <mergeCell ref="Q4:Q6"/>
    <mergeCell ref="R4:R6"/>
    <mergeCell ref="S4:S6"/>
    <mergeCell ref="T10:T12"/>
    <mergeCell ref="V4:V6"/>
    <mergeCell ref="R7:R9"/>
    <mergeCell ref="S7:S9"/>
    <mergeCell ref="T7:T9"/>
    <mergeCell ref="U7:U9"/>
    <mergeCell ref="V7:V9"/>
    <mergeCell ref="W19:W21"/>
    <mergeCell ref="U19:U21"/>
    <mergeCell ref="V19:V21"/>
    <mergeCell ref="R10:R12"/>
    <mergeCell ref="S10:S12"/>
    <mergeCell ref="R13:R15"/>
    <mergeCell ref="S13:S15"/>
    <mergeCell ref="R16:R18"/>
    <mergeCell ref="S16:S18"/>
    <mergeCell ref="R19:R21"/>
    <mergeCell ref="S19:S21"/>
    <mergeCell ref="V10:V12"/>
    <mergeCell ref="T13:T15"/>
    <mergeCell ref="U13:U15"/>
    <mergeCell ref="V13:V15"/>
    <mergeCell ref="T16:T18"/>
    <mergeCell ref="W4:W6"/>
    <mergeCell ref="W7:W9"/>
    <mergeCell ref="W10:W12"/>
    <mergeCell ref="W13:W15"/>
    <mergeCell ref="W16:W18"/>
    <mergeCell ref="U24:V26"/>
    <mergeCell ref="Q24:T26"/>
    <mergeCell ref="B18:B20"/>
    <mergeCell ref="C18:C20"/>
    <mergeCell ref="E18:E20"/>
    <mergeCell ref="F18:F20"/>
    <mergeCell ref="U16:U18"/>
    <mergeCell ref="V16:V18"/>
    <mergeCell ref="H15:H16"/>
    <mergeCell ref="L15:L16"/>
    <mergeCell ref="I15:I16"/>
    <mergeCell ref="M15:M16"/>
    <mergeCell ref="Q16:Q18"/>
    <mergeCell ref="Q19:Q21"/>
    <mergeCell ref="T19:T21"/>
  </mergeCells>
  <pageMargins left="0.7" right="0.7" top="0.75" bottom="0.75" header="0.3" footer="0.3"/>
  <pageSetup paperSize="9" orientation="portrait" horizontalDpi="360" verticalDpi="36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Drop Down 1">
              <controlPr defaultSize="0" autoLine="0" autoPict="0">
                <anchor moveWithCells="1">
                  <from>
                    <xdr:col>2</xdr:col>
                    <xdr:colOff>104775</xdr:colOff>
                    <xdr:row>6</xdr:row>
                    <xdr:rowOff>161925</xdr:rowOff>
                  </from>
                  <to>
                    <xdr:col>3</xdr:col>
                    <xdr:colOff>523875</xdr:colOff>
                    <xdr:row>8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6FD1C-5928-416D-893A-675D74718801}">
  <sheetPr>
    <tabColor rgb="FF7030A0"/>
  </sheetPr>
  <dimension ref="A3:AD45"/>
  <sheetViews>
    <sheetView workbookViewId="0">
      <selection activeCell="AE10" sqref="AE10"/>
    </sheetView>
  </sheetViews>
  <sheetFormatPr defaultRowHeight="15" x14ac:dyDescent="0.25"/>
  <cols>
    <col min="6" max="6" width="9.7109375" customWidth="1"/>
    <col min="8" max="10" width="7" bestFit="1" customWidth="1"/>
    <col min="17" max="17" width="9.140625" customWidth="1"/>
    <col min="18" max="19" width="7.7109375" customWidth="1"/>
    <col min="28" max="30" width="7" bestFit="1" customWidth="1"/>
  </cols>
  <sheetData>
    <row r="3" spans="1:30" x14ac:dyDescent="0.25">
      <c r="A3" t="s">
        <v>12</v>
      </c>
      <c r="L3" t="s">
        <v>13</v>
      </c>
      <c r="U3" t="s">
        <v>14</v>
      </c>
    </row>
    <row r="5" spans="1:30" x14ac:dyDescent="0.25">
      <c r="A5" s="3" t="s">
        <v>0</v>
      </c>
      <c r="B5" s="4" t="s">
        <v>1</v>
      </c>
      <c r="C5" s="4">
        <v>1</v>
      </c>
      <c r="D5" s="4">
        <v>2</v>
      </c>
      <c r="E5" s="5">
        <v>3</v>
      </c>
      <c r="H5" s="34" t="s">
        <v>34</v>
      </c>
      <c r="I5" s="34"/>
      <c r="J5" s="34"/>
      <c r="L5" s="3" t="s">
        <v>0</v>
      </c>
      <c r="M5" s="4" t="s">
        <v>1</v>
      </c>
      <c r="N5" s="4">
        <v>1</v>
      </c>
      <c r="O5" s="4">
        <v>2</v>
      </c>
      <c r="R5" s="34" t="s">
        <v>34</v>
      </c>
      <c r="S5" s="34"/>
      <c r="U5" s="3" t="s">
        <v>0</v>
      </c>
      <c r="V5" s="4" t="s">
        <v>1</v>
      </c>
      <c r="W5" s="4">
        <v>1</v>
      </c>
      <c r="X5" s="4">
        <v>2</v>
      </c>
      <c r="Y5" s="4">
        <v>3</v>
      </c>
      <c r="AB5" s="34" t="s">
        <v>34</v>
      </c>
      <c r="AC5" s="34"/>
      <c r="AD5" s="34"/>
    </row>
    <row r="6" spans="1:30" x14ac:dyDescent="0.25">
      <c r="A6" s="3">
        <v>1</v>
      </c>
      <c r="B6" s="3">
        <v>50</v>
      </c>
      <c r="C6" s="10">
        <f t="shared" ref="C6:C41" si="0">H6*$F6*C$42*$F$42</f>
        <v>1.567015</v>
      </c>
      <c r="D6" s="10">
        <f t="shared" ref="D6:D41" si="1">I6*$F6*D$42*$F$42</f>
        <v>3.0923000000000003</v>
      </c>
      <c r="E6" s="10">
        <f t="shared" ref="E6:E41" si="2">J6*$F6*E$42*$F$42</f>
        <v>4.4084000000000003</v>
      </c>
      <c r="F6" s="12">
        <v>1</v>
      </c>
      <c r="H6" s="35">
        <v>1.45</v>
      </c>
      <c r="I6" s="35">
        <v>2.89</v>
      </c>
      <c r="J6" s="35">
        <v>4.12</v>
      </c>
      <c r="L6" s="3">
        <v>1</v>
      </c>
      <c r="M6" s="3">
        <v>50</v>
      </c>
      <c r="N6" s="10">
        <f>R6*$P6*N$42*$P$42</f>
        <v>1.05</v>
      </c>
      <c r="O6" s="10">
        <f>S6*$P6*O$42*$P$42</f>
        <v>6.18</v>
      </c>
      <c r="P6" s="12">
        <v>1</v>
      </c>
      <c r="R6" s="36">
        <v>1.05</v>
      </c>
      <c r="S6" s="36">
        <v>6.18</v>
      </c>
      <c r="U6" s="3">
        <v>1</v>
      </c>
      <c r="V6" s="3">
        <v>50</v>
      </c>
      <c r="W6" s="10">
        <f>AB6*$Z6*W$42*$Z$42</f>
        <v>1.1200000000000001</v>
      </c>
      <c r="X6" s="10">
        <f>AC6*$Z6*X$42*$Z$42</f>
        <v>2.85</v>
      </c>
      <c r="Y6" s="10">
        <f>AD6*$Z6*Y$42*$Z$42</f>
        <v>4.33</v>
      </c>
      <c r="Z6" s="12">
        <v>1</v>
      </c>
      <c r="AB6" s="37">
        <v>1.1200000000000001</v>
      </c>
      <c r="AC6" s="37">
        <v>2.85</v>
      </c>
      <c r="AD6" s="37">
        <v>4.33</v>
      </c>
    </row>
    <row r="7" spans="1:30" x14ac:dyDescent="0.25">
      <c r="A7" s="3">
        <f>A6+50</f>
        <v>51</v>
      </c>
      <c r="B7" s="3">
        <f>B6+50</f>
        <v>100</v>
      </c>
      <c r="C7" s="10">
        <f t="shared" si="0"/>
        <v>6.1275690000000003</v>
      </c>
      <c r="D7" s="10">
        <f t="shared" si="1"/>
        <v>7.7361000000000013</v>
      </c>
      <c r="E7" s="10">
        <f t="shared" si="2"/>
        <v>10.111499999999999</v>
      </c>
      <c r="F7" s="12">
        <v>1</v>
      </c>
      <c r="H7" s="35">
        <v>5.67</v>
      </c>
      <c r="I7" s="35">
        <v>7.23</v>
      </c>
      <c r="J7" s="35">
        <v>9.4499999999999993</v>
      </c>
      <c r="L7" s="3">
        <f>L6+50</f>
        <v>51</v>
      </c>
      <c r="M7" s="3">
        <f>M6+50</f>
        <v>100</v>
      </c>
      <c r="N7" s="10">
        <f t="shared" ref="N7:O41" si="3">R7*$P7*N$42*$P$42</f>
        <v>5.15</v>
      </c>
      <c r="O7" s="10">
        <f t="shared" si="3"/>
        <v>6.88</v>
      </c>
      <c r="P7" s="12">
        <v>1</v>
      </c>
      <c r="R7" s="36">
        <v>5.15</v>
      </c>
      <c r="S7" s="36">
        <v>6.88</v>
      </c>
      <c r="U7" s="3">
        <f>U6+50</f>
        <v>51</v>
      </c>
      <c r="V7" s="3">
        <f>V6+50</f>
        <v>100</v>
      </c>
      <c r="W7" s="10">
        <f>AB7*$Z7*W$42*$Z$42</f>
        <v>5.6</v>
      </c>
      <c r="X7" s="10">
        <f>AC7*$Z7*X$42*$Z$42</f>
        <v>7.15</v>
      </c>
      <c r="Y7" s="10">
        <f>AD7*$Z7*Y$42*$Z$42</f>
        <v>8.99</v>
      </c>
      <c r="Z7" s="12">
        <v>1</v>
      </c>
      <c r="AB7" s="37">
        <v>5.6</v>
      </c>
      <c r="AC7" s="37">
        <v>7.15</v>
      </c>
      <c r="AD7" s="37">
        <v>8.99</v>
      </c>
    </row>
    <row r="8" spans="1:30" x14ac:dyDescent="0.25">
      <c r="A8" s="3">
        <f t="shared" ref="A8:A26" si="4">A7+50</f>
        <v>101</v>
      </c>
      <c r="B8" s="3">
        <f t="shared" ref="B8:B25" si="5">B7+50</f>
        <v>150</v>
      </c>
      <c r="C8" s="10">
        <f t="shared" si="0"/>
        <v>11.909314</v>
      </c>
      <c r="D8" s="10">
        <f t="shared" si="1"/>
        <v>13.439200000000001</v>
      </c>
      <c r="E8" s="10">
        <f t="shared" si="2"/>
        <v>15.932300000000001</v>
      </c>
      <c r="F8" s="12">
        <v>1</v>
      </c>
      <c r="H8" s="35">
        <v>11.02</v>
      </c>
      <c r="I8" s="35">
        <v>12.56</v>
      </c>
      <c r="J8" s="35">
        <v>14.89</v>
      </c>
      <c r="L8" s="3">
        <f t="shared" ref="L8:M26" si="6">L7+50</f>
        <v>101</v>
      </c>
      <c r="M8" s="3">
        <f t="shared" si="6"/>
        <v>150</v>
      </c>
      <c r="N8" s="10">
        <f t="shared" si="3"/>
        <v>9.75</v>
      </c>
      <c r="O8" s="10">
        <f t="shared" si="3"/>
        <v>11.4</v>
      </c>
      <c r="P8" s="12">
        <v>1</v>
      </c>
      <c r="R8" s="36">
        <v>9.75</v>
      </c>
      <c r="S8" s="36">
        <v>11.4</v>
      </c>
      <c r="U8" s="3">
        <f t="shared" ref="U8:V26" si="7">U7+50</f>
        <v>101</v>
      </c>
      <c r="V8" s="3">
        <f t="shared" si="7"/>
        <v>150</v>
      </c>
      <c r="W8" s="10">
        <f>AB8*$Z8*W$42*$Z$42</f>
        <v>10.45</v>
      </c>
      <c r="X8" s="10">
        <f>AC8*$Z8*X$42*$Z$42</f>
        <v>12.2</v>
      </c>
      <c r="Y8" s="10">
        <f>AD8*$Z8*Y$42*$Z$42</f>
        <v>13.75</v>
      </c>
      <c r="Z8" s="12">
        <v>1</v>
      </c>
      <c r="AB8" s="37">
        <v>10.45</v>
      </c>
      <c r="AC8" s="37">
        <v>12.2</v>
      </c>
      <c r="AD8" s="37">
        <v>13.75</v>
      </c>
    </row>
    <row r="9" spans="1:30" x14ac:dyDescent="0.25">
      <c r="A9" s="3">
        <f t="shared" si="4"/>
        <v>151</v>
      </c>
      <c r="B9" s="3">
        <f t="shared" si="5"/>
        <v>200</v>
      </c>
      <c r="C9" s="10">
        <f t="shared" si="0"/>
        <v>22.603056639999998</v>
      </c>
      <c r="D9" s="10">
        <f t="shared" si="1"/>
        <v>24.817152</v>
      </c>
      <c r="E9" s="10">
        <f t="shared" si="2"/>
        <v>30.117504</v>
      </c>
      <c r="F9" s="12">
        <v>1.28</v>
      </c>
      <c r="H9" s="35">
        <v>16.34</v>
      </c>
      <c r="I9" s="35">
        <v>18.12</v>
      </c>
      <c r="J9" s="35">
        <v>21.99</v>
      </c>
      <c r="L9" s="3">
        <f t="shared" si="6"/>
        <v>151</v>
      </c>
      <c r="M9" s="3">
        <f t="shared" si="6"/>
        <v>200</v>
      </c>
      <c r="N9" s="10">
        <f t="shared" si="3"/>
        <v>15.12</v>
      </c>
      <c r="O9" s="10">
        <f t="shared" si="3"/>
        <v>16.89</v>
      </c>
      <c r="P9" s="12">
        <v>1</v>
      </c>
      <c r="R9" s="36">
        <v>15.12</v>
      </c>
      <c r="S9" s="36">
        <v>16.89</v>
      </c>
      <c r="U9" s="3">
        <f t="shared" si="7"/>
        <v>151</v>
      </c>
      <c r="V9" s="3">
        <f t="shared" si="7"/>
        <v>200</v>
      </c>
      <c r="W9" s="10">
        <f>AB9*$Z9*W$42*$Z$42</f>
        <v>15.3</v>
      </c>
      <c r="X9" s="10">
        <f>AC9*$Z9*X$42*$Z$42</f>
        <v>22.8</v>
      </c>
      <c r="Y9" s="10">
        <f>AD9*$Z9*Y$42*$Z$42</f>
        <v>23.1</v>
      </c>
      <c r="Z9" s="12">
        <v>1</v>
      </c>
      <c r="AB9" s="37">
        <v>15.3</v>
      </c>
      <c r="AC9" s="37">
        <v>22.8</v>
      </c>
      <c r="AD9" s="37">
        <v>23.1</v>
      </c>
    </row>
    <row r="10" spans="1:30" x14ac:dyDescent="0.25">
      <c r="A10" s="3">
        <f t="shared" si="4"/>
        <v>201</v>
      </c>
      <c r="B10" s="3">
        <f t="shared" si="5"/>
        <v>250</v>
      </c>
      <c r="C10" s="10">
        <f t="shared" si="0"/>
        <v>23.181015000000002</v>
      </c>
      <c r="D10" s="10">
        <f t="shared" si="1"/>
        <v>25.326900000000002</v>
      </c>
      <c r="E10" s="10">
        <f t="shared" si="2"/>
        <v>31.158400000000004</v>
      </c>
      <c r="F10" s="12">
        <v>1</v>
      </c>
      <c r="H10" s="35">
        <v>21.45</v>
      </c>
      <c r="I10" s="35">
        <v>23.67</v>
      </c>
      <c r="J10" s="35">
        <v>29.12</v>
      </c>
      <c r="L10" s="3">
        <f t="shared" si="6"/>
        <v>201</v>
      </c>
      <c r="M10" s="3">
        <f t="shared" si="6"/>
        <v>250</v>
      </c>
      <c r="N10" s="10">
        <f t="shared" si="3"/>
        <v>20.329999999999998</v>
      </c>
      <c r="O10" s="10">
        <f t="shared" si="3"/>
        <v>22.15</v>
      </c>
      <c r="P10" s="12">
        <v>1</v>
      </c>
      <c r="R10" s="36">
        <v>20.329999999999998</v>
      </c>
      <c r="S10" s="36">
        <v>22.15</v>
      </c>
      <c r="U10" s="3">
        <f t="shared" si="7"/>
        <v>201</v>
      </c>
      <c r="V10" s="3">
        <f t="shared" si="7"/>
        <v>250</v>
      </c>
      <c r="W10" s="10">
        <f>AB10*$Z10*W$42*$Z$42</f>
        <v>20.85</v>
      </c>
      <c r="X10" s="10">
        <f>AC10*$Z10*X$42*$Z$42</f>
        <v>22.4</v>
      </c>
      <c r="Y10" s="10">
        <f>AD10*$Z10*Y$42*$Z$42</f>
        <v>24.15</v>
      </c>
      <c r="Z10" s="12">
        <v>1</v>
      </c>
      <c r="AB10" s="37">
        <v>20.85</v>
      </c>
      <c r="AC10" s="37">
        <v>22.4</v>
      </c>
      <c r="AD10" s="37">
        <v>24.15</v>
      </c>
    </row>
    <row r="11" spans="1:30" x14ac:dyDescent="0.25">
      <c r="A11" s="3">
        <f t="shared" si="4"/>
        <v>251</v>
      </c>
      <c r="B11" s="3">
        <f t="shared" si="5"/>
        <v>300</v>
      </c>
      <c r="C11" s="10">
        <f t="shared" si="0"/>
        <v>28.465638000000002</v>
      </c>
      <c r="D11" s="10">
        <f t="shared" si="1"/>
        <v>31.629200000000001</v>
      </c>
      <c r="E11" s="10">
        <f t="shared" si="2"/>
        <v>34.004600000000003</v>
      </c>
      <c r="F11" s="12">
        <v>1</v>
      </c>
      <c r="H11" s="35">
        <v>26.34</v>
      </c>
      <c r="I11" s="35">
        <v>29.56</v>
      </c>
      <c r="J11" s="35">
        <v>31.78</v>
      </c>
      <c r="L11" s="3">
        <f t="shared" si="6"/>
        <v>251</v>
      </c>
      <c r="M11" s="3">
        <f t="shared" si="6"/>
        <v>300</v>
      </c>
      <c r="N11" s="10">
        <f t="shared" si="3"/>
        <v>26.4</v>
      </c>
      <c r="O11" s="10">
        <f t="shared" si="3"/>
        <v>28.65</v>
      </c>
      <c r="P11" s="12">
        <v>1</v>
      </c>
      <c r="R11" s="36">
        <v>26.4</v>
      </c>
      <c r="S11" s="36">
        <v>28.65</v>
      </c>
      <c r="U11" s="3">
        <f t="shared" si="7"/>
        <v>251</v>
      </c>
      <c r="V11" s="3">
        <f t="shared" si="7"/>
        <v>300</v>
      </c>
      <c r="W11" s="10">
        <f>AB11*$Z11*W$42*$Z$42</f>
        <v>26.6</v>
      </c>
      <c r="X11" s="10">
        <f>AC11*$Z11*X$42*$Z$42</f>
        <v>28.25</v>
      </c>
      <c r="Y11" s="10">
        <f>AD11*$Z11*Y$42*$Z$42</f>
        <v>29.9</v>
      </c>
      <c r="Z11" s="12">
        <v>1</v>
      </c>
      <c r="AB11" s="37">
        <v>26.6</v>
      </c>
      <c r="AC11" s="37">
        <v>28.25</v>
      </c>
      <c r="AD11" s="37">
        <v>29.9</v>
      </c>
    </row>
    <row r="12" spans="1:30" x14ac:dyDescent="0.25">
      <c r="A12" s="3">
        <f t="shared" si="4"/>
        <v>301</v>
      </c>
      <c r="B12" s="3">
        <f t="shared" si="5"/>
        <v>350</v>
      </c>
      <c r="C12" s="10">
        <f t="shared" si="0"/>
        <v>37.846114000000007</v>
      </c>
      <c r="D12" s="10">
        <f t="shared" si="1"/>
        <v>37.931500000000007</v>
      </c>
      <c r="E12" s="10">
        <f t="shared" si="2"/>
        <v>40.542300000000004</v>
      </c>
      <c r="F12" s="12">
        <v>1</v>
      </c>
      <c r="H12" s="35">
        <v>35.020000000000003</v>
      </c>
      <c r="I12" s="35">
        <v>35.450000000000003</v>
      </c>
      <c r="J12" s="35">
        <v>37.89</v>
      </c>
      <c r="L12" s="3">
        <f t="shared" si="6"/>
        <v>301</v>
      </c>
      <c r="M12" s="3">
        <f t="shared" si="6"/>
        <v>350</v>
      </c>
      <c r="N12" s="10">
        <f t="shared" si="3"/>
        <v>32.549999999999997</v>
      </c>
      <c r="O12" s="10">
        <f t="shared" si="3"/>
        <v>34.799999999999997</v>
      </c>
      <c r="P12" s="12">
        <v>1</v>
      </c>
      <c r="R12" s="36">
        <v>32.549999999999997</v>
      </c>
      <c r="S12" s="36">
        <v>34.799999999999997</v>
      </c>
      <c r="U12" s="3">
        <f t="shared" si="7"/>
        <v>301</v>
      </c>
      <c r="V12" s="3">
        <f t="shared" si="7"/>
        <v>350</v>
      </c>
      <c r="W12" s="10">
        <f>AB12*$Z12*W$42*$Z$42</f>
        <v>31.45</v>
      </c>
      <c r="X12" s="10">
        <f>AC12*$Z12*X$42*$Z$42</f>
        <v>33.1</v>
      </c>
      <c r="Y12" s="10">
        <f>AD12*$Z12*Y$42*$Z$42</f>
        <v>35.75</v>
      </c>
      <c r="Z12" s="12">
        <v>1</v>
      </c>
      <c r="AB12" s="37">
        <v>31.45</v>
      </c>
      <c r="AC12" s="37">
        <v>33.1</v>
      </c>
      <c r="AD12" s="37">
        <v>35.75</v>
      </c>
    </row>
    <row r="13" spans="1:30" x14ac:dyDescent="0.25">
      <c r="A13" s="3">
        <f t="shared" si="4"/>
        <v>351</v>
      </c>
      <c r="B13" s="3">
        <f t="shared" si="5"/>
        <v>400</v>
      </c>
      <c r="C13" s="10">
        <f t="shared" si="0"/>
        <v>42.395860999999996</v>
      </c>
      <c r="D13" s="10">
        <f t="shared" si="1"/>
        <v>44.469200000000008</v>
      </c>
      <c r="E13" s="10">
        <f t="shared" si="2"/>
        <v>46.138399999999997</v>
      </c>
      <c r="F13" s="12">
        <v>1</v>
      </c>
      <c r="H13" s="35">
        <v>39.229999999999997</v>
      </c>
      <c r="I13" s="35">
        <v>41.56</v>
      </c>
      <c r="J13" s="35">
        <v>43.12</v>
      </c>
      <c r="L13" s="3">
        <f t="shared" si="6"/>
        <v>351</v>
      </c>
      <c r="M13" s="3">
        <f t="shared" si="6"/>
        <v>400</v>
      </c>
      <c r="N13" s="10">
        <f t="shared" si="3"/>
        <v>38.200000000000003</v>
      </c>
      <c r="O13" s="10">
        <f t="shared" si="3"/>
        <v>40.15</v>
      </c>
      <c r="P13" s="12">
        <v>1</v>
      </c>
      <c r="R13" s="36">
        <v>38.200000000000003</v>
      </c>
      <c r="S13" s="36">
        <v>40.15</v>
      </c>
      <c r="U13" s="3">
        <f t="shared" si="7"/>
        <v>351</v>
      </c>
      <c r="V13" s="3">
        <f t="shared" si="7"/>
        <v>400</v>
      </c>
      <c r="W13" s="10">
        <f>AB13*$Z13*W$42*$Z$42</f>
        <v>37.200000000000003</v>
      </c>
      <c r="X13" s="10">
        <f>AC13*$Z13*X$42*$Z$42</f>
        <v>39.549999999999997</v>
      </c>
      <c r="Y13" s="10">
        <f>AD13*$Z13*Y$42*$Z$42</f>
        <v>41.3</v>
      </c>
      <c r="Z13" s="12">
        <v>1</v>
      </c>
      <c r="AB13" s="37">
        <v>37.200000000000003</v>
      </c>
      <c r="AC13" s="37">
        <v>39.549999999999997</v>
      </c>
      <c r="AD13" s="37">
        <v>41.3</v>
      </c>
    </row>
    <row r="14" spans="1:30" x14ac:dyDescent="0.25">
      <c r="A14" s="3">
        <f t="shared" si="4"/>
        <v>401</v>
      </c>
      <c r="B14" s="3">
        <f t="shared" si="5"/>
        <v>450</v>
      </c>
      <c r="C14" s="10">
        <f t="shared" si="0"/>
        <v>49.355569000000003</v>
      </c>
      <c r="D14" s="10">
        <f t="shared" si="1"/>
        <v>51.2423</v>
      </c>
      <c r="E14" s="10">
        <f t="shared" si="2"/>
        <v>52.793800000000005</v>
      </c>
      <c r="F14" s="12">
        <v>1</v>
      </c>
      <c r="H14" s="35">
        <v>45.67</v>
      </c>
      <c r="I14" s="35">
        <v>47.89</v>
      </c>
      <c r="J14" s="35">
        <v>49.34</v>
      </c>
      <c r="L14" s="3">
        <f t="shared" si="6"/>
        <v>401</v>
      </c>
      <c r="M14" s="3">
        <f t="shared" si="6"/>
        <v>450</v>
      </c>
      <c r="N14" s="10">
        <f t="shared" si="3"/>
        <v>44.33</v>
      </c>
      <c r="O14" s="10">
        <f t="shared" si="3"/>
        <v>46.12</v>
      </c>
      <c r="P14" s="12">
        <v>1</v>
      </c>
      <c r="R14" s="36">
        <v>44.33</v>
      </c>
      <c r="S14" s="36">
        <v>46.12</v>
      </c>
      <c r="U14" s="3">
        <f t="shared" si="7"/>
        <v>401</v>
      </c>
      <c r="V14" s="3">
        <f t="shared" si="7"/>
        <v>450</v>
      </c>
      <c r="W14" s="10">
        <f>AB14*$Z14*W$42*$Z$42</f>
        <v>42.85</v>
      </c>
      <c r="X14" s="10">
        <f>AC14*$Z14*X$42*$Z$42</f>
        <v>44.15</v>
      </c>
      <c r="Y14" s="10">
        <f>AD14*$Z14*Y$42*$Z$42</f>
        <v>46.6</v>
      </c>
      <c r="Z14" s="12">
        <v>1</v>
      </c>
      <c r="AB14" s="37">
        <v>42.85</v>
      </c>
      <c r="AC14" s="37">
        <v>44.15</v>
      </c>
      <c r="AD14" s="37">
        <v>46.6</v>
      </c>
    </row>
    <row r="15" spans="1:30" x14ac:dyDescent="0.25">
      <c r="A15" s="3">
        <f t="shared" si="4"/>
        <v>451</v>
      </c>
      <c r="B15" s="3">
        <f t="shared" si="5"/>
        <v>500</v>
      </c>
      <c r="C15" s="10">
        <f t="shared" si="0"/>
        <v>55.245384000000001</v>
      </c>
      <c r="D15" s="10">
        <f t="shared" si="1"/>
        <v>57.191500000000005</v>
      </c>
      <c r="E15" s="10">
        <f t="shared" si="2"/>
        <v>59.684600000000003</v>
      </c>
      <c r="F15" s="12">
        <v>1</v>
      </c>
      <c r="H15" s="35">
        <v>51.12</v>
      </c>
      <c r="I15" s="35">
        <v>53.45</v>
      </c>
      <c r="J15" s="35">
        <v>55.78</v>
      </c>
      <c r="L15" s="3">
        <f t="shared" si="6"/>
        <v>451</v>
      </c>
      <c r="M15" s="3">
        <f t="shared" si="6"/>
        <v>500</v>
      </c>
      <c r="N15" s="10">
        <f t="shared" si="3"/>
        <v>50.25</v>
      </c>
      <c r="O15" s="10">
        <f t="shared" si="3"/>
        <v>52.4</v>
      </c>
      <c r="P15" s="12">
        <v>1</v>
      </c>
      <c r="R15" s="36">
        <v>50.25</v>
      </c>
      <c r="S15" s="36">
        <v>52.4</v>
      </c>
      <c r="U15" s="3">
        <f t="shared" si="7"/>
        <v>451</v>
      </c>
      <c r="V15" s="3">
        <f t="shared" si="7"/>
        <v>500</v>
      </c>
      <c r="W15" s="10">
        <f>AB15*$Z15*W$42*$Z$42</f>
        <v>48.25</v>
      </c>
      <c r="X15" s="10">
        <f>AC15*$Z15*X$42*$Z$42</f>
        <v>49.9</v>
      </c>
      <c r="Y15" s="10">
        <f>AD15*$Z15*Y$42*$Z$42</f>
        <v>51.45</v>
      </c>
      <c r="Z15" s="12">
        <v>1</v>
      </c>
      <c r="AB15" s="37">
        <v>48.25</v>
      </c>
      <c r="AC15" s="37">
        <v>49.9</v>
      </c>
      <c r="AD15" s="37">
        <v>51.45</v>
      </c>
    </row>
    <row r="16" spans="1:30" x14ac:dyDescent="0.25">
      <c r="A16" s="3">
        <f t="shared" si="4"/>
        <v>501</v>
      </c>
      <c r="B16" s="3">
        <f t="shared" si="5"/>
        <v>550</v>
      </c>
      <c r="C16" s="10">
        <f t="shared" si="0"/>
        <v>61.848461</v>
      </c>
      <c r="D16" s="10">
        <f t="shared" si="1"/>
        <v>63.729200000000006</v>
      </c>
      <c r="E16" s="10">
        <f t="shared" si="2"/>
        <v>66.222300000000004</v>
      </c>
      <c r="F16" s="12">
        <v>1</v>
      </c>
      <c r="H16" s="35">
        <v>57.23</v>
      </c>
      <c r="I16" s="35">
        <v>59.56</v>
      </c>
      <c r="J16" s="35">
        <v>61.89</v>
      </c>
      <c r="L16" s="3">
        <f t="shared" si="6"/>
        <v>501</v>
      </c>
      <c r="M16" s="3">
        <f t="shared" si="6"/>
        <v>550</v>
      </c>
      <c r="N16" s="10">
        <f t="shared" si="3"/>
        <v>56.15</v>
      </c>
      <c r="O16" s="10">
        <f t="shared" si="3"/>
        <v>58.33</v>
      </c>
      <c r="P16" s="12">
        <v>1</v>
      </c>
      <c r="R16" s="36">
        <v>56.15</v>
      </c>
      <c r="S16" s="36">
        <v>58.33</v>
      </c>
      <c r="U16" s="3">
        <f t="shared" si="7"/>
        <v>501</v>
      </c>
      <c r="V16" s="3">
        <f t="shared" si="7"/>
        <v>550</v>
      </c>
      <c r="W16" s="10">
        <f>AB16*$Z16*W$42*$Z$42</f>
        <v>53.1</v>
      </c>
      <c r="X16" s="10">
        <f>AC16*$Z16*X$42*$Z$42</f>
        <v>55.55</v>
      </c>
      <c r="Y16" s="10">
        <f>AD16*$Z16*Y$42*$Z$42</f>
        <v>57.2</v>
      </c>
      <c r="Z16" s="12">
        <v>1</v>
      </c>
      <c r="AB16" s="37">
        <v>53.1</v>
      </c>
      <c r="AC16" s="37">
        <v>55.55</v>
      </c>
      <c r="AD16" s="37">
        <v>57.2</v>
      </c>
    </row>
    <row r="17" spans="1:30" x14ac:dyDescent="0.25">
      <c r="A17" s="3">
        <f t="shared" si="4"/>
        <v>551</v>
      </c>
      <c r="B17" s="3">
        <f t="shared" si="5"/>
        <v>600</v>
      </c>
      <c r="C17" s="10">
        <f t="shared" si="0"/>
        <v>68.570415000000011</v>
      </c>
      <c r="D17" s="10">
        <f t="shared" si="1"/>
        <v>69.678400000000011</v>
      </c>
      <c r="E17" s="10">
        <f t="shared" si="2"/>
        <v>72.05380000000001</v>
      </c>
      <c r="F17" s="12">
        <v>1</v>
      </c>
      <c r="H17" s="35">
        <v>63.45</v>
      </c>
      <c r="I17" s="35">
        <v>65.12</v>
      </c>
      <c r="J17" s="35">
        <v>67.34</v>
      </c>
      <c r="L17" s="3">
        <f t="shared" si="6"/>
        <v>551</v>
      </c>
      <c r="M17" s="3">
        <f t="shared" si="6"/>
        <v>600</v>
      </c>
      <c r="N17" s="10">
        <f t="shared" si="3"/>
        <v>62.12</v>
      </c>
      <c r="O17" s="10">
        <f t="shared" si="3"/>
        <v>64.55</v>
      </c>
      <c r="P17" s="12">
        <v>1</v>
      </c>
      <c r="R17" s="36">
        <v>62.12</v>
      </c>
      <c r="S17" s="36">
        <v>64.55</v>
      </c>
      <c r="U17" s="3">
        <f t="shared" si="7"/>
        <v>551</v>
      </c>
      <c r="V17" s="3">
        <f t="shared" si="7"/>
        <v>600</v>
      </c>
      <c r="W17" s="10">
        <f>AB17*$Z17*W$42*$Z$42</f>
        <v>58.85</v>
      </c>
      <c r="X17" s="10">
        <f>AC17*$Z17*X$42*$Z$42</f>
        <v>60.4</v>
      </c>
      <c r="Y17" s="10">
        <f>AD17*$Z17*Y$42*$Z$42</f>
        <v>62.15</v>
      </c>
      <c r="Z17" s="12">
        <v>1</v>
      </c>
      <c r="AB17" s="37">
        <v>58.85</v>
      </c>
      <c r="AC17" s="37">
        <v>60.4</v>
      </c>
      <c r="AD17" s="37">
        <v>62.15</v>
      </c>
    </row>
    <row r="18" spans="1:30" x14ac:dyDescent="0.25">
      <c r="A18" s="3">
        <f t="shared" si="4"/>
        <v>601</v>
      </c>
      <c r="B18" s="3">
        <f t="shared" si="5"/>
        <v>650</v>
      </c>
      <c r="C18" s="10">
        <f t="shared" si="0"/>
        <v>75.17349200000001</v>
      </c>
      <c r="D18" s="10">
        <f t="shared" si="1"/>
        <v>76.804600000000008</v>
      </c>
      <c r="E18" s="10">
        <f t="shared" si="2"/>
        <v>78.238400000000013</v>
      </c>
      <c r="F18" s="12">
        <v>1</v>
      </c>
      <c r="H18" s="35">
        <v>69.56</v>
      </c>
      <c r="I18" s="35">
        <v>71.78</v>
      </c>
      <c r="J18" s="35">
        <v>73.12</v>
      </c>
      <c r="L18" s="3">
        <f t="shared" si="6"/>
        <v>601</v>
      </c>
      <c r="M18" s="3">
        <f t="shared" si="6"/>
        <v>650</v>
      </c>
      <c r="N18" s="10">
        <f t="shared" si="3"/>
        <v>68.22</v>
      </c>
      <c r="O18" s="10">
        <f t="shared" si="3"/>
        <v>70.45</v>
      </c>
      <c r="P18" s="12">
        <v>1</v>
      </c>
      <c r="R18" s="36">
        <v>68.22</v>
      </c>
      <c r="S18" s="36">
        <v>70.45</v>
      </c>
      <c r="U18" s="3">
        <f t="shared" si="7"/>
        <v>601</v>
      </c>
      <c r="V18" s="3">
        <f t="shared" si="7"/>
        <v>650</v>
      </c>
      <c r="W18" s="10">
        <f>AB18*$Z18*W$42*$Z$42</f>
        <v>64.599999999999994</v>
      </c>
      <c r="X18" s="10">
        <f>AC18*$Z18*X$42*$Z$42</f>
        <v>66.25</v>
      </c>
      <c r="Y18" s="10">
        <f>AD18*$Z18*Y$42*$Z$42</f>
        <v>68.900000000000006</v>
      </c>
      <c r="Z18" s="12">
        <v>1</v>
      </c>
      <c r="AB18" s="37">
        <v>64.599999999999994</v>
      </c>
      <c r="AC18" s="37">
        <v>66.25</v>
      </c>
      <c r="AD18" s="37">
        <v>68.900000000000006</v>
      </c>
    </row>
    <row r="19" spans="1:30" x14ac:dyDescent="0.25">
      <c r="A19" s="3">
        <f t="shared" si="4"/>
        <v>651</v>
      </c>
      <c r="B19" s="3">
        <f t="shared" si="5"/>
        <v>700</v>
      </c>
      <c r="C19" s="10">
        <f t="shared" si="0"/>
        <v>81.419938000000002</v>
      </c>
      <c r="D19" s="10">
        <f t="shared" si="1"/>
        <v>82.989200000000011</v>
      </c>
      <c r="E19" s="10">
        <f t="shared" si="2"/>
        <v>85.482300000000009</v>
      </c>
      <c r="F19" s="12">
        <v>1</v>
      </c>
      <c r="H19" s="35">
        <v>75.34</v>
      </c>
      <c r="I19" s="35">
        <v>77.56</v>
      </c>
      <c r="J19" s="35">
        <v>79.89</v>
      </c>
      <c r="L19" s="3">
        <f t="shared" si="6"/>
        <v>651</v>
      </c>
      <c r="M19" s="3">
        <f t="shared" si="6"/>
        <v>700</v>
      </c>
      <c r="N19" s="10">
        <f t="shared" si="3"/>
        <v>74.599999999999994</v>
      </c>
      <c r="O19" s="10">
        <f t="shared" si="3"/>
        <v>76.88</v>
      </c>
      <c r="P19" s="12">
        <v>1</v>
      </c>
      <c r="R19" s="36">
        <v>74.599999999999994</v>
      </c>
      <c r="S19" s="36">
        <v>76.88</v>
      </c>
      <c r="U19" s="3">
        <f t="shared" si="7"/>
        <v>651</v>
      </c>
      <c r="V19" s="3">
        <f t="shared" si="7"/>
        <v>700</v>
      </c>
      <c r="W19" s="10">
        <f>AB19*$Z19*W$42*$Z$42</f>
        <v>70.45</v>
      </c>
      <c r="X19" s="10">
        <f>AC19*$Z19*X$42*$Z$42</f>
        <v>72.099999999999994</v>
      </c>
      <c r="Y19" s="10">
        <f>AD19*$Z19*Y$42*$Z$42</f>
        <v>74.55</v>
      </c>
      <c r="Z19" s="12">
        <v>1</v>
      </c>
      <c r="AB19" s="37">
        <v>70.45</v>
      </c>
      <c r="AC19" s="37">
        <v>72.099999999999994</v>
      </c>
      <c r="AD19" s="37">
        <v>74.55</v>
      </c>
    </row>
    <row r="20" spans="1:30" x14ac:dyDescent="0.25">
      <c r="A20" s="3">
        <f t="shared" si="4"/>
        <v>701</v>
      </c>
      <c r="B20" s="3">
        <f t="shared" si="5"/>
        <v>750</v>
      </c>
      <c r="C20" s="10">
        <f t="shared" si="0"/>
        <v>87.666384000000008</v>
      </c>
      <c r="D20" s="10">
        <f t="shared" si="1"/>
        <v>89.291500000000013</v>
      </c>
      <c r="E20" s="10">
        <f t="shared" si="2"/>
        <v>91.666900000000012</v>
      </c>
      <c r="F20" s="12">
        <v>1</v>
      </c>
      <c r="H20" s="35">
        <v>81.12</v>
      </c>
      <c r="I20" s="35">
        <v>83.45</v>
      </c>
      <c r="J20" s="35">
        <v>85.67</v>
      </c>
      <c r="L20" s="3">
        <f t="shared" si="6"/>
        <v>701</v>
      </c>
      <c r="M20" s="3">
        <f t="shared" si="6"/>
        <v>750</v>
      </c>
      <c r="N20" s="10">
        <f t="shared" si="3"/>
        <v>80.45</v>
      </c>
      <c r="O20" s="10">
        <f t="shared" si="3"/>
        <v>82.12</v>
      </c>
      <c r="P20" s="12">
        <v>1</v>
      </c>
      <c r="R20" s="36">
        <v>80.45</v>
      </c>
      <c r="S20" s="36">
        <v>82.12</v>
      </c>
      <c r="U20" s="3">
        <f t="shared" si="7"/>
        <v>701</v>
      </c>
      <c r="V20" s="3">
        <f t="shared" si="7"/>
        <v>750</v>
      </c>
      <c r="W20" s="10">
        <f>AB20*$Z20*W$42*$Z$42</f>
        <v>76.2</v>
      </c>
      <c r="X20" s="10">
        <f>AC20*$Z20*X$42*$Z$42</f>
        <v>78.849999999999994</v>
      </c>
      <c r="Y20" s="10">
        <f>AD20*$Z20*Y$42*$Z$42</f>
        <v>80.400000000000006</v>
      </c>
      <c r="Z20" s="12">
        <v>1</v>
      </c>
      <c r="AB20" s="37">
        <v>76.2</v>
      </c>
      <c r="AC20" s="37">
        <v>78.849999999999994</v>
      </c>
      <c r="AD20" s="37">
        <v>80.400000000000006</v>
      </c>
    </row>
    <row r="21" spans="1:30" x14ac:dyDescent="0.25">
      <c r="A21" s="3">
        <f t="shared" si="4"/>
        <v>751</v>
      </c>
      <c r="B21" s="3">
        <f t="shared" si="5"/>
        <v>800</v>
      </c>
      <c r="C21" s="10">
        <f t="shared" si="0"/>
        <v>97.263000000000005</v>
      </c>
      <c r="D21" s="10">
        <f>I21*$F21*D$42*$F$42</f>
        <v>97.498400000000004</v>
      </c>
      <c r="E21" s="10">
        <f t="shared" si="2"/>
        <v>97.733800000000002</v>
      </c>
      <c r="F21" s="12">
        <v>1</v>
      </c>
      <c r="H21" s="35">
        <v>90</v>
      </c>
      <c r="I21" s="35">
        <v>91.12</v>
      </c>
      <c r="J21" s="35">
        <v>91.34</v>
      </c>
      <c r="L21" s="3">
        <f t="shared" si="6"/>
        <v>751</v>
      </c>
      <c r="M21" s="3">
        <f t="shared" si="6"/>
        <v>800</v>
      </c>
      <c r="N21" s="10">
        <f t="shared" si="3"/>
        <v>86.9</v>
      </c>
      <c r="O21" s="10">
        <f t="shared" si="3"/>
        <v>88.33</v>
      </c>
      <c r="P21" s="12">
        <v>1</v>
      </c>
      <c r="R21" s="36">
        <v>86.9</v>
      </c>
      <c r="S21" s="36">
        <v>88.33</v>
      </c>
      <c r="U21" s="3">
        <f t="shared" si="7"/>
        <v>751</v>
      </c>
      <c r="V21" s="3">
        <f t="shared" si="7"/>
        <v>800</v>
      </c>
      <c r="W21" s="10">
        <f>AB21*$Z21*W$42*$Z$42</f>
        <v>81.95</v>
      </c>
      <c r="X21" s="10">
        <f>AC21*$Z21*X$42*$Z$42</f>
        <v>83.5</v>
      </c>
      <c r="Y21" s="10">
        <f>AD21*$Z21*Y$42*$Z$42</f>
        <v>85.15</v>
      </c>
      <c r="Z21" s="12">
        <v>1</v>
      </c>
      <c r="AB21" s="37">
        <v>81.95</v>
      </c>
      <c r="AC21" s="37">
        <v>83.5</v>
      </c>
      <c r="AD21" s="37">
        <v>85.15</v>
      </c>
    </row>
    <row r="22" spans="1:30" x14ac:dyDescent="0.25">
      <c r="A22" s="3">
        <f t="shared" si="4"/>
        <v>801</v>
      </c>
      <c r="B22" s="3">
        <f t="shared" si="5"/>
        <v>850</v>
      </c>
      <c r="C22" s="10">
        <f>H22*$F22*C$42*$F$42</f>
        <v>100.63478400000001</v>
      </c>
      <c r="D22" s="10">
        <f t="shared" si="1"/>
        <v>102.1315</v>
      </c>
      <c r="E22" s="10">
        <f t="shared" si="2"/>
        <v>104.5069</v>
      </c>
      <c r="F22" s="12">
        <v>1</v>
      </c>
      <c r="H22" s="35">
        <v>93.12</v>
      </c>
      <c r="I22" s="35">
        <v>95.45</v>
      </c>
      <c r="J22" s="35">
        <v>97.67</v>
      </c>
      <c r="L22" s="3">
        <f t="shared" si="6"/>
        <v>801</v>
      </c>
      <c r="M22" s="3">
        <f t="shared" si="6"/>
        <v>850</v>
      </c>
      <c r="N22" s="10">
        <f t="shared" si="3"/>
        <v>92.12</v>
      </c>
      <c r="O22" s="10">
        <f t="shared" si="3"/>
        <v>94.4</v>
      </c>
      <c r="P22" s="12">
        <v>1</v>
      </c>
      <c r="R22" s="36">
        <v>92.12</v>
      </c>
      <c r="S22" s="36">
        <v>94.4</v>
      </c>
      <c r="U22" s="3">
        <f t="shared" si="7"/>
        <v>801</v>
      </c>
      <c r="V22" s="3">
        <f t="shared" si="7"/>
        <v>850</v>
      </c>
      <c r="W22" s="10">
        <f>AB22*$Z22*W$42*$Z$42</f>
        <v>87.6</v>
      </c>
      <c r="X22" s="10">
        <f>AC22*$Z22*X$42*$Z$42</f>
        <v>89.25</v>
      </c>
      <c r="Y22" s="10">
        <f>AD22*$Z22*Y$42*$Z$42</f>
        <v>91.8</v>
      </c>
      <c r="Z22" s="12">
        <v>1</v>
      </c>
      <c r="AB22" s="37">
        <v>87.6</v>
      </c>
      <c r="AC22" s="37">
        <v>89.25</v>
      </c>
      <c r="AD22" s="37">
        <v>91.8</v>
      </c>
    </row>
    <row r="23" spans="1:30" x14ac:dyDescent="0.25">
      <c r="A23" s="3">
        <f t="shared" si="4"/>
        <v>851</v>
      </c>
      <c r="B23" s="3">
        <f t="shared" si="5"/>
        <v>900</v>
      </c>
      <c r="C23" s="10">
        <f t="shared" si="0"/>
        <v>107.23786100000001</v>
      </c>
      <c r="D23" s="10">
        <f t="shared" si="1"/>
        <v>108.6692</v>
      </c>
      <c r="E23" s="10">
        <f t="shared" si="2"/>
        <v>110.33840000000001</v>
      </c>
      <c r="F23" s="12">
        <v>1</v>
      </c>
      <c r="H23" s="35">
        <v>99.23</v>
      </c>
      <c r="I23" s="35">
        <v>101.56</v>
      </c>
      <c r="J23" s="35">
        <v>103.12</v>
      </c>
      <c r="L23" s="3">
        <f t="shared" si="6"/>
        <v>851</v>
      </c>
      <c r="M23" s="3">
        <f t="shared" si="6"/>
        <v>900</v>
      </c>
      <c r="N23" s="10">
        <f>R23*$P23*N$42*$P$42</f>
        <v>100.2</v>
      </c>
      <c r="O23" s="10">
        <f t="shared" si="3"/>
        <v>100.55</v>
      </c>
      <c r="P23" s="12">
        <v>1</v>
      </c>
      <c r="R23" s="36">
        <v>100.2</v>
      </c>
      <c r="S23" s="36">
        <v>100.55</v>
      </c>
      <c r="U23" s="3">
        <f t="shared" si="7"/>
        <v>851</v>
      </c>
      <c r="V23" s="3">
        <f t="shared" si="7"/>
        <v>900</v>
      </c>
      <c r="W23" s="10">
        <f>AB23*$Z23*W$42*$Z$42</f>
        <v>93.45</v>
      </c>
      <c r="X23" s="10">
        <f>AC23*$Z23*X$42*$Z$42</f>
        <v>95.1</v>
      </c>
      <c r="Y23" s="10">
        <f>AD23*$Z23*Y$42*$Z$42</f>
        <v>97.55</v>
      </c>
      <c r="Z23" s="12">
        <v>1</v>
      </c>
      <c r="AB23" s="37">
        <v>93.45</v>
      </c>
      <c r="AC23" s="37">
        <v>95.1</v>
      </c>
      <c r="AD23" s="37">
        <v>97.55</v>
      </c>
    </row>
    <row r="24" spans="1:30" x14ac:dyDescent="0.25">
      <c r="A24" s="3">
        <f t="shared" si="4"/>
        <v>901</v>
      </c>
      <c r="B24" s="3">
        <f t="shared" si="5"/>
        <v>950</v>
      </c>
      <c r="C24" s="10">
        <f t="shared" si="0"/>
        <v>113.84093800000001</v>
      </c>
      <c r="D24" s="10">
        <f t="shared" si="1"/>
        <v>115.08920000000001</v>
      </c>
      <c r="E24" s="10">
        <f t="shared" si="2"/>
        <v>117.5823</v>
      </c>
      <c r="F24" s="12">
        <v>1</v>
      </c>
      <c r="H24" s="35">
        <v>105.34</v>
      </c>
      <c r="I24" s="35">
        <v>107.56</v>
      </c>
      <c r="J24" s="35">
        <v>109.89</v>
      </c>
      <c r="L24" s="3">
        <f t="shared" si="6"/>
        <v>901</v>
      </c>
      <c r="M24" s="3">
        <f t="shared" si="6"/>
        <v>950</v>
      </c>
      <c r="N24" s="10">
        <f t="shared" si="3"/>
        <v>104.45</v>
      </c>
      <c r="O24" s="10">
        <f t="shared" si="3"/>
        <v>106.88</v>
      </c>
      <c r="P24" s="12">
        <v>1</v>
      </c>
      <c r="R24" s="36">
        <v>104.45</v>
      </c>
      <c r="S24" s="36">
        <v>106.88</v>
      </c>
      <c r="U24" s="3">
        <f t="shared" si="7"/>
        <v>901</v>
      </c>
      <c r="V24" s="3">
        <f t="shared" si="7"/>
        <v>950</v>
      </c>
      <c r="W24" s="10">
        <f>AB24*$Z24*W$42*$Z$42</f>
        <v>99.2</v>
      </c>
      <c r="X24" s="10">
        <f>AC24*$Z24*X$42*$Z$42</f>
        <v>101.85</v>
      </c>
      <c r="Y24" s="10">
        <f>AD24*$Z24*Y$42*$Z$42</f>
        <v>103.4</v>
      </c>
      <c r="Z24" s="12">
        <v>1</v>
      </c>
      <c r="AB24" s="37">
        <v>99.2</v>
      </c>
      <c r="AC24" s="37">
        <v>101.85</v>
      </c>
      <c r="AD24" s="37">
        <v>103.4</v>
      </c>
    </row>
    <row r="25" spans="1:30" x14ac:dyDescent="0.25">
      <c r="A25" s="3">
        <f t="shared" si="4"/>
        <v>951</v>
      </c>
      <c r="B25" s="3">
        <f t="shared" si="5"/>
        <v>1000</v>
      </c>
      <c r="C25" s="10">
        <f t="shared" si="0"/>
        <v>120.08738400000001</v>
      </c>
      <c r="D25" s="10">
        <f t="shared" si="1"/>
        <v>121.39150000000001</v>
      </c>
      <c r="E25" s="10">
        <f t="shared" si="2"/>
        <v>123.76690000000001</v>
      </c>
      <c r="F25" s="12">
        <v>1</v>
      </c>
      <c r="H25" s="35">
        <v>111.12</v>
      </c>
      <c r="I25" s="35">
        <v>113.45</v>
      </c>
      <c r="J25" s="35">
        <v>115.67</v>
      </c>
      <c r="L25" s="3">
        <f t="shared" si="6"/>
        <v>951</v>
      </c>
      <c r="M25" s="3">
        <f t="shared" si="6"/>
        <v>1000</v>
      </c>
      <c r="N25" s="10">
        <f t="shared" si="3"/>
        <v>110.15</v>
      </c>
      <c r="O25" s="10">
        <f t="shared" si="3"/>
        <v>112.4</v>
      </c>
      <c r="P25" s="12">
        <v>1</v>
      </c>
      <c r="R25" s="36">
        <v>110.15</v>
      </c>
      <c r="S25" s="36">
        <v>112.4</v>
      </c>
      <c r="U25" s="3">
        <f t="shared" si="7"/>
        <v>951</v>
      </c>
      <c r="V25" s="3">
        <f t="shared" si="7"/>
        <v>1000</v>
      </c>
      <c r="W25" s="10">
        <f>AB25*$Z25*W$42*$Z$42</f>
        <v>105.15</v>
      </c>
      <c r="X25" s="10">
        <f>AC25*$Z25*X$42*$Z$42</f>
        <v>107.6</v>
      </c>
      <c r="Y25" s="10">
        <f>AD25*$Z25*Y$42*$Z$42</f>
        <v>109.25</v>
      </c>
      <c r="Z25" s="12">
        <v>1</v>
      </c>
      <c r="AB25" s="37">
        <v>105.15</v>
      </c>
      <c r="AC25" s="37">
        <v>107.6</v>
      </c>
      <c r="AD25" s="37">
        <v>109.25</v>
      </c>
    </row>
    <row r="26" spans="1:30" x14ac:dyDescent="0.25">
      <c r="A26" s="3">
        <f t="shared" si="4"/>
        <v>1001</v>
      </c>
      <c r="B26" s="3">
        <f>B25+100</f>
        <v>1100</v>
      </c>
      <c r="C26" s="10">
        <f t="shared" si="0"/>
        <v>126.69046100000001</v>
      </c>
      <c r="D26" s="10">
        <f t="shared" si="1"/>
        <v>127.92920000000001</v>
      </c>
      <c r="E26" s="10">
        <f t="shared" si="2"/>
        <v>129.83380000000002</v>
      </c>
      <c r="F26" s="12">
        <v>1</v>
      </c>
      <c r="H26" s="35">
        <v>117.23</v>
      </c>
      <c r="I26" s="35">
        <v>119.56</v>
      </c>
      <c r="J26" s="35">
        <v>121.34</v>
      </c>
      <c r="L26" s="3">
        <f t="shared" si="6"/>
        <v>1001</v>
      </c>
      <c r="M26" s="3">
        <f>M25+100</f>
        <v>1100</v>
      </c>
      <c r="N26" s="10">
        <f t="shared" si="3"/>
        <v>116.22</v>
      </c>
      <c r="O26" s="10">
        <f t="shared" si="3"/>
        <v>118.55</v>
      </c>
      <c r="P26" s="12">
        <v>1</v>
      </c>
      <c r="R26" s="36">
        <v>116.22</v>
      </c>
      <c r="S26" s="36">
        <v>118.55</v>
      </c>
      <c r="U26" s="3">
        <f t="shared" si="7"/>
        <v>1001</v>
      </c>
      <c r="V26" s="3">
        <f>V25+100</f>
        <v>1100</v>
      </c>
      <c r="W26" s="10">
        <f>AB26*$Z26*W$42*$Z$42</f>
        <v>111.8</v>
      </c>
      <c r="X26" s="10">
        <f>AC26*$Z26*X$42*$Z$42</f>
        <v>113.45</v>
      </c>
      <c r="Y26" s="10">
        <f>AD26*$Z26*Y$42*$Z$42</f>
        <v>115.1</v>
      </c>
      <c r="Z26" s="12">
        <v>1</v>
      </c>
      <c r="AB26" s="37">
        <v>111.8</v>
      </c>
      <c r="AC26" s="37">
        <v>113.45</v>
      </c>
      <c r="AD26" s="37">
        <v>115.1</v>
      </c>
    </row>
    <row r="27" spans="1:30" x14ac:dyDescent="0.25">
      <c r="A27" s="3">
        <f>A26+100</f>
        <v>1101</v>
      </c>
      <c r="B27" s="3">
        <f t="shared" ref="B27:B41" si="8">B26+100</f>
        <v>1200</v>
      </c>
      <c r="C27" s="10">
        <f t="shared" si="0"/>
        <v>133.41241500000001</v>
      </c>
      <c r="D27" s="10">
        <f t="shared" si="1"/>
        <v>133.8784</v>
      </c>
      <c r="E27" s="10">
        <f t="shared" si="2"/>
        <v>136.6069</v>
      </c>
      <c r="F27" s="12">
        <v>1</v>
      </c>
      <c r="H27" s="35">
        <v>123.45</v>
      </c>
      <c r="I27" s="35">
        <v>125.12</v>
      </c>
      <c r="J27" s="35">
        <v>127.67</v>
      </c>
      <c r="L27" s="3">
        <f>L26+100</f>
        <v>1101</v>
      </c>
      <c r="M27" s="3">
        <f t="shared" ref="M27:M41" si="9">M26+100</f>
        <v>1200</v>
      </c>
      <c r="N27" s="10">
        <f t="shared" si="3"/>
        <v>122.33</v>
      </c>
      <c r="O27" s="10">
        <f t="shared" si="3"/>
        <v>124.6</v>
      </c>
      <c r="P27" s="12">
        <v>1</v>
      </c>
      <c r="R27" s="36">
        <v>122.33</v>
      </c>
      <c r="S27" s="36">
        <v>124.6</v>
      </c>
      <c r="U27" s="3">
        <f>U26+100</f>
        <v>1101</v>
      </c>
      <c r="V27" s="3">
        <f t="shared" ref="V27:V41" si="10">V26+100</f>
        <v>1200</v>
      </c>
      <c r="W27" s="10">
        <f>AB27*$Z27*W$42*$Z$42</f>
        <v>117.55</v>
      </c>
      <c r="X27" s="10">
        <f>AC27*$Z27*X$42*$Z$42</f>
        <v>119.2</v>
      </c>
      <c r="Y27" s="10">
        <f>AD27*$Z27*Y$42*$Z$42</f>
        <v>121.85</v>
      </c>
      <c r="Z27" s="12">
        <v>1</v>
      </c>
      <c r="AB27" s="37">
        <v>117.55</v>
      </c>
      <c r="AC27" s="37">
        <v>119.2</v>
      </c>
      <c r="AD27" s="37">
        <v>121.85</v>
      </c>
    </row>
    <row r="28" spans="1:30" x14ac:dyDescent="0.25">
      <c r="A28" s="3">
        <f t="shared" ref="A28:A35" si="11">A27+100</f>
        <v>1201</v>
      </c>
      <c r="B28" s="3">
        <f t="shared" si="8"/>
        <v>1300</v>
      </c>
      <c r="C28" s="10">
        <f t="shared" si="0"/>
        <v>139.658861</v>
      </c>
      <c r="D28" s="10">
        <f t="shared" si="1"/>
        <v>140.76920000000001</v>
      </c>
      <c r="E28" s="10">
        <f t="shared" si="2"/>
        <v>143.26229999999998</v>
      </c>
      <c r="F28" s="12">
        <v>1</v>
      </c>
      <c r="H28" s="35">
        <v>129.22999999999999</v>
      </c>
      <c r="I28" s="35">
        <v>131.56</v>
      </c>
      <c r="J28" s="35">
        <v>133.88999999999999</v>
      </c>
      <c r="L28" s="3">
        <f t="shared" ref="L28:L35" si="12">L27+100</f>
        <v>1201</v>
      </c>
      <c r="M28" s="3">
        <f t="shared" si="9"/>
        <v>1300</v>
      </c>
      <c r="N28" s="10">
        <f t="shared" si="3"/>
        <v>128.44999999999999</v>
      </c>
      <c r="O28" s="10">
        <f t="shared" si="3"/>
        <v>130.88</v>
      </c>
      <c r="P28" s="12">
        <v>1</v>
      </c>
      <c r="R28" s="36">
        <v>128.44999999999999</v>
      </c>
      <c r="S28" s="36">
        <v>130.88</v>
      </c>
      <c r="U28" s="3">
        <f t="shared" ref="U28:U35" si="13">U27+100</f>
        <v>1201</v>
      </c>
      <c r="V28" s="3">
        <f t="shared" si="10"/>
        <v>1300</v>
      </c>
      <c r="W28" s="10">
        <f>AB28*$Z28*W$42*$Z$42</f>
        <v>123.4</v>
      </c>
      <c r="X28" s="10">
        <f>AC28*$Z28*X$42*$Z$42</f>
        <v>125.15</v>
      </c>
      <c r="Y28" s="10">
        <f>AD28*$Z28*Y$42*$Z$42</f>
        <v>127.6</v>
      </c>
      <c r="Z28" s="12">
        <v>1</v>
      </c>
      <c r="AB28" s="37">
        <v>123.4</v>
      </c>
      <c r="AC28" s="37">
        <v>125.15</v>
      </c>
      <c r="AD28" s="37">
        <v>127.6</v>
      </c>
    </row>
    <row r="29" spans="1:30" x14ac:dyDescent="0.25">
      <c r="A29" s="3">
        <f t="shared" si="11"/>
        <v>1301</v>
      </c>
      <c r="B29" s="3">
        <f t="shared" si="8"/>
        <v>1400</v>
      </c>
      <c r="C29" s="10">
        <f t="shared" si="0"/>
        <v>146.02418400000002</v>
      </c>
      <c r="D29" s="10">
        <f t="shared" si="1"/>
        <v>147.07149999999999</v>
      </c>
      <c r="E29" s="10">
        <f t="shared" si="2"/>
        <v>149.4469</v>
      </c>
      <c r="F29" s="12">
        <v>1</v>
      </c>
      <c r="H29" s="35">
        <v>135.12</v>
      </c>
      <c r="I29" s="35">
        <v>137.44999999999999</v>
      </c>
      <c r="J29" s="35">
        <v>139.66999999999999</v>
      </c>
      <c r="L29" s="3">
        <f t="shared" si="12"/>
        <v>1301</v>
      </c>
      <c r="M29" s="3">
        <f t="shared" si="9"/>
        <v>1400</v>
      </c>
      <c r="N29" s="10">
        <f t="shared" si="3"/>
        <v>134.55000000000001</v>
      </c>
      <c r="O29" s="10">
        <f t="shared" si="3"/>
        <v>136.12</v>
      </c>
      <c r="P29" s="12">
        <v>1</v>
      </c>
      <c r="R29" s="36">
        <v>134.55000000000001</v>
      </c>
      <c r="S29" s="36">
        <v>136.12</v>
      </c>
      <c r="U29" s="3">
        <f t="shared" si="13"/>
        <v>1301</v>
      </c>
      <c r="V29" s="3">
        <f t="shared" si="10"/>
        <v>1400</v>
      </c>
      <c r="W29" s="10">
        <f>AB29*$Z29*W$42*$Z$42</f>
        <v>129.25</v>
      </c>
      <c r="X29" s="10">
        <f>AC29*$Z29*X$42*$Z$42</f>
        <v>131.80000000000001</v>
      </c>
      <c r="Y29" s="10">
        <f>AD29*$Z29*Y$42*$Z$42</f>
        <v>133.44999999999999</v>
      </c>
      <c r="Z29" s="12">
        <v>1</v>
      </c>
      <c r="AB29" s="37">
        <v>129.25</v>
      </c>
      <c r="AC29" s="37">
        <v>131.80000000000001</v>
      </c>
      <c r="AD29" s="37">
        <v>133.44999999999999</v>
      </c>
    </row>
    <row r="30" spans="1:30" x14ac:dyDescent="0.25">
      <c r="A30" s="3">
        <f t="shared" si="11"/>
        <v>1401</v>
      </c>
      <c r="B30" s="3">
        <f t="shared" si="8"/>
        <v>1500</v>
      </c>
      <c r="C30" s="10">
        <f t="shared" si="0"/>
        <v>152.62726099999998</v>
      </c>
      <c r="D30" s="10">
        <f t="shared" si="1"/>
        <v>153.60920000000002</v>
      </c>
      <c r="E30" s="10">
        <f t="shared" si="2"/>
        <v>155.2784</v>
      </c>
      <c r="F30" s="12">
        <v>1</v>
      </c>
      <c r="H30" s="35">
        <v>141.22999999999999</v>
      </c>
      <c r="I30" s="35">
        <v>143.56</v>
      </c>
      <c r="J30" s="35">
        <v>145.12</v>
      </c>
      <c r="L30" s="3">
        <f t="shared" si="12"/>
        <v>1401</v>
      </c>
      <c r="M30" s="3">
        <f t="shared" si="9"/>
        <v>1500</v>
      </c>
      <c r="N30" s="10">
        <f t="shared" si="3"/>
        <v>140.75</v>
      </c>
      <c r="O30" s="10">
        <f t="shared" si="3"/>
        <v>142.33000000000001</v>
      </c>
      <c r="P30" s="12">
        <v>1</v>
      </c>
      <c r="R30" s="36">
        <v>140.75</v>
      </c>
      <c r="S30" s="36">
        <v>142.33000000000001</v>
      </c>
      <c r="U30" s="3">
        <f t="shared" si="13"/>
        <v>1401</v>
      </c>
      <c r="V30" s="3">
        <f t="shared" si="10"/>
        <v>1500</v>
      </c>
      <c r="W30" s="10">
        <f>AB30*$Z30*W$42*$Z$42</f>
        <v>135.1</v>
      </c>
      <c r="X30" s="10">
        <f>AC30*$Z30*X$42*$Z$42</f>
        <v>137.55000000000001</v>
      </c>
      <c r="Y30" s="10">
        <f>AD30*$Z30*Y$42*$Z$42</f>
        <v>139.19999999999999</v>
      </c>
      <c r="Z30" s="12">
        <v>1</v>
      </c>
      <c r="AB30" s="37">
        <v>135.1</v>
      </c>
      <c r="AC30" s="37">
        <v>137.55000000000001</v>
      </c>
      <c r="AD30" s="37">
        <v>139.19999999999999</v>
      </c>
    </row>
    <row r="31" spans="1:30" x14ac:dyDescent="0.25">
      <c r="A31" s="3">
        <f t="shared" si="11"/>
        <v>1501</v>
      </c>
      <c r="B31" s="3">
        <f t="shared" si="8"/>
        <v>1600</v>
      </c>
      <c r="C31" s="10">
        <f t="shared" si="0"/>
        <v>159.23033800000002</v>
      </c>
      <c r="D31" s="10">
        <f t="shared" si="1"/>
        <v>160.0292</v>
      </c>
      <c r="E31" s="10">
        <f t="shared" si="2"/>
        <v>162.5223</v>
      </c>
      <c r="F31" s="12">
        <v>1</v>
      </c>
      <c r="H31" s="35">
        <v>147.34</v>
      </c>
      <c r="I31" s="35">
        <v>149.56</v>
      </c>
      <c r="J31" s="35">
        <v>151.88999999999999</v>
      </c>
      <c r="L31" s="3">
        <f t="shared" si="12"/>
        <v>1501</v>
      </c>
      <c r="M31" s="3">
        <f t="shared" si="9"/>
        <v>1600</v>
      </c>
      <c r="N31" s="10">
        <f t="shared" si="3"/>
        <v>146.12</v>
      </c>
      <c r="O31" s="10">
        <f t="shared" si="3"/>
        <v>148.44999999999999</v>
      </c>
      <c r="P31" s="12">
        <v>1</v>
      </c>
      <c r="R31" s="36">
        <v>146.12</v>
      </c>
      <c r="S31" s="36">
        <v>148.44999999999999</v>
      </c>
      <c r="U31" s="3">
        <f t="shared" si="13"/>
        <v>1501</v>
      </c>
      <c r="V31" s="3">
        <f t="shared" si="10"/>
        <v>1600</v>
      </c>
      <c r="W31" s="10">
        <f>AB31*$Z31*W$42*$Z$42</f>
        <v>141.85</v>
      </c>
      <c r="X31" s="10">
        <f>AC31*$Z31*X$42*$Z$42</f>
        <v>143.4</v>
      </c>
      <c r="Y31" s="10">
        <f>AD31*$Z31*Y$42*$Z$42</f>
        <v>145.15</v>
      </c>
      <c r="Z31" s="12">
        <v>1</v>
      </c>
      <c r="AB31" s="37">
        <v>141.85</v>
      </c>
      <c r="AC31" s="37">
        <v>143.4</v>
      </c>
      <c r="AD31" s="37">
        <v>145.15</v>
      </c>
    </row>
    <row r="32" spans="1:30" x14ac:dyDescent="0.25">
      <c r="A32" s="3">
        <f t="shared" si="11"/>
        <v>1601</v>
      </c>
      <c r="B32" s="3">
        <f t="shared" si="8"/>
        <v>1700</v>
      </c>
      <c r="C32" s="10">
        <f t="shared" si="0"/>
        <v>165.47678400000004</v>
      </c>
      <c r="D32" s="10">
        <f t="shared" si="1"/>
        <v>166.33150000000001</v>
      </c>
      <c r="E32" s="10">
        <f t="shared" si="2"/>
        <v>168.70689999999999</v>
      </c>
      <c r="F32" s="12">
        <v>1</v>
      </c>
      <c r="H32" s="35">
        <v>153.12</v>
      </c>
      <c r="I32" s="35">
        <v>155.44999999999999</v>
      </c>
      <c r="J32" s="35">
        <v>157.66999999999999</v>
      </c>
      <c r="L32" s="3">
        <f t="shared" si="12"/>
        <v>1601</v>
      </c>
      <c r="M32" s="3">
        <f t="shared" si="9"/>
        <v>1700</v>
      </c>
      <c r="N32" s="10">
        <f t="shared" si="3"/>
        <v>152.22</v>
      </c>
      <c r="O32" s="10">
        <f t="shared" si="3"/>
        <v>154.6</v>
      </c>
      <c r="P32" s="12">
        <v>1</v>
      </c>
      <c r="R32" s="36">
        <v>152.22</v>
      </c>
      <c r="S32" s="36">
        <v>154.6</v>
      </c>
      <c r="U32" s="3">
        <f t="shared" si="13"/>
        <v>1601</v>
      </c>
      <c r="V32" s="3">
        <f t="shared" si="10"/>
        <v>1700</v>
      </c>
      <c r="W32" s="10">
        <f>AB32*$Z32*W$42*$Z$42</f>
        <v>147.6</v>
      </c>
      <c r="X32" s="10">
        <f>AC32*$Z32*X$42*$Z$42</f>
        <v>149.25</v>
      </c>
      <c r="Y32" s="10">
        <f>AD32*$Z32*Y$42*$Z$42</f>
        <v>151.80000000000001</v>
      </c>
      <c r="Z32" s="12">
        <v>1</v>
      </c>
      <c r="AB32" s="37">
        <v>147.6</v>
      </c>
      <c r="AC32" s="37">
        <v>149.25</v>
      </c>
      <c r="AD32" s="37">
        <v>151.80000000000001</v>
      </c>
    </row>
    <row r="33" spans="1:30" x14ac:dyDescent="0.25">
      <c r="A33" s="3">
        <f t="shared" si="11"/>
        <v>1701</v>
      </c>
      <c r="B33" s="3">
        <f t="shared" si="8"/>
        <v>1800</v>
      </c>
      <c r="C33" s="10">
        <f t="shared" si="0"/>
        <v>172.07986099999999</v>
      </c>
      <c r="D33" s="10">
        <f t="shared" si="1"/>
        <v>172.86920000000001</v>
      </c>
      <c r="E33" s="10">
        <f t="shared" si="2"/>
        <v>174.53840000000002</v>
      </c>
      <c r="F33" s="12">
        <v>1</v>
      </c>
      <c r="H33" s="35">
        <v>159.22999999999999</v>
      </c>
      <c r="I33" s="35">
        <v>161.56</v>
      </c>
      <c r="J33" s="35">
        <v>163.12</v>
      </c>
      <c r="L33" s="3">
        <f t="shared" si="12"/>
        <v>1701</v>
      </c>
      <c r="M33" s="3">
        <f t="shared" si="9"/>
        <v>1800</v>
      </c>
      <c r="N33" s="10">
        <f t="shared" si="3"/>
        <v>158.44999999999999</v>
      </c>
      <c r="O33" s="10">
        <f t="shared" si="3"/>
        <v>160.12</v>
      </c>
      <c r="P33" s="12">
        <v>1</v>
      </c>
      <c r="R33" s="36">
        <v>158.44999999999999</v>
      </c>
      <c r="S33" s="36">
        <v>160.12</v>
      </c>
      <c r="U33" s="3">
        <f t="shared" si="13"/>
        <v>1701</v>
      </c>
      <c r="V33" s="3">
        <f t="shared" si="10"/>
        <v>1800</v>
      </c>
      <c r="W33" s="10">
        <f>AB33*$Z33*W$42*$Z$42</f>
        <v>153.44999999999999</v>
      </c>
      <c r="X33" s="10">
        <f>AC33*$Z33*X$42*$Z$42</f>
        <v>155.1</v>
      </c>
      <c r="Y33" s="10">
        <f>AD33*$Z33*Y$42*$Z$42</f>
        <v>157.55000000000001</v>
      </c>
      <c r="Z33" s="12">
        <v>1</v>
      </c>
      <c r="AB33" s="37">
        <v>153.44999999999999</v>
      </c>
      <c r="AC33" s="37">
        <v>155.1</v>
      </c>
      <c r="AD33" s="37">
        <v>157.55000000000001</v>
      </c>
    </row>
    <row r="34" spans="1:30" x14ac:dyDescent="0.25">
      <c r="A34" s="3">
        <f t="shared" si="11"/>
        <v>1801</v>
      </c>
      <c r="B34" s="3">
        <f t="shared" si="8"/>
        <v>1900</v>
      </c>
      <c r="C34" s="10">
        <f t="shared" si="0"/>
        <v>178.68293800000001</v>
      </c>
      <c r="D34" s="10">
        <f t="shared" si="1"/>
        <v>179.28920000000002</v>
      </c>
      <c r="E34" s="10">
        <f t="shared" si="2"/>
        <v>181.78229999999999</v>
      </c>
      <c r="F34" s="12">
        <v>1</v>
      </c>
      <c r="H34" s="35">
        <v>165.34</v>
      </c>
      <c r="I34" s="35">
        <v>167.56</v>
      </c>
      <c r="J34" s="35">
        <v>169.89</v>
      </c>
      <c r="L34" s="3">
        <f t="shared" si="12"/>
        <v>1801</v>
      </c>
      <c r="M34" s="3">
        <f t="shared" si="9"/>
        <v>1900</v>
      </c>
      <c r="N34" s="10">
        <f t="shared" si="3"/>
        <v>164.88</v>
      </c>
      <c r="O34" s="10">
        <f t="shared" si="3"/>
        <v>166.33</v>
      </c>
      <c r="P34" s="12">
        <v>1</v>
      </c>
      <c r="R34" s="36">
        <v>164.88</v>
      </c>
      <c r="S34" s="36">
        <v>166.33</v>
      </c>
      <c r="U34" s="3">
        <f t="shared" si="13"/>
        <v>1801</v>
      </c>
      <c r="V34" s="3">
        <f t="shared" si="10"/>
        <v>1900</v>
      </c>
      <c r="W34" s="10">
        <f>AB34*$Z34*W$42*$Z$42</f>
        <v>163.19999999999999</v>
      </c>
      <c r="X34" s="10">
        <f>AC34*$Z34*X$42*$Z$42</f>
        <v>161.85</v>
      </c>
      <c r="Y34" s="10">
        <f>AD34*$Z34*Y$42*$Z$42</f>
        <v>163.4</v>
      </c>
      <c r="Z34" s="12">
        <v>1</v>
      </c>
      <c r="AB34" s="37">
        <v>163.19999999999999</v>
      </c>
      <c r="AC34" s="37">
        <v>161.85</v>
      </c>
      <c r="AD34" s="37">
        <v>163.4</v>
      </c>
    </row>
    <row r="35" spans="1:30" x14ac:dyDescent="0.25">
      <c r="A35" s="3">
        <f t="shared" si="11"/>
        <v>1901</v>
      </c>
      <c r="B35" s="3">
        <f t="shared" si="8"/>
        <v>2000</v>
      </c>
      <c r="C35" s="10">
        <f t="shared" si="0"/>
        <v>184.929384</v>
      </c>
      <c r="D35" s="10">
        <f t="shared" si="1"/>
        <v>185.5915</v>
      </c>
      <c r="E35" s="10">
        <f t="shared" si="2"/>
        <v>187.96690000000001</v>
      </c>
      <c r="F35" s="12">
        <v>1</v>
      </c>
      <c r="H35" s="35">
        <v>171.12</v>
      </c>
      <c r="I35" s="35">
        <v>173.45</v>
      </c>
      <c r="J35" s="35">
        <v>175.67</v>
      </c>
      <c r="L35" s="3">
        <f t="shared" si="12"/>
        <v>1901</v>
      </c>
      <c r="M35" s="3">
        <f t="shared" si="9"/>
        <v>2000</v>
      </c>
      <c r="N35" s="10">
        <f t="shared" si="3"/>
        <v>170.12</v>
      </c>
      <c r="O35" s="10">
        <f t="shared" si="3"/>
        <v>172.45</v>
      </c>
      <c r="P35" s="12">
        <v>1</v>
      </c>
      <c r="R35" s="36">
        <v>170.12</v>
      </c>
      <c r="S35" s="36">
        <v>172.45</v>
      </c>
      <c r="U35" s="3">
        <f t="shared" si="13"/>
        <v>1901</v>
      </c>
      <c r="V35" s="3">
        <f t="shared" si="10"/>
        <v>2000</v>
      </c>
      <c r="W35" s="10">
        <f>AB35*$Z35*W$42*$Z$42</f>
        <v>165.15</v>
      </c>
      <c r="X35" s="10">
        <f>AC35*$Z35*X$42*$Z$42</f>
        <v>167.6</v>
      </c>
      <c r="Y35" s="10">
        <f>AD35*$Z35*Y$42*$Z$42</f>
        <v>169.25</v>
      </c>
      <c r="Z35" s="12">
        <v>1</v>
      </c>
      <c r="AB35" s="37">
        <v>165.15</v>
      </c>
      <c r="AC35" s="37">
        <v>167.6</v>
      </c>
      <c r="AD35" s="37">
        <v>169.25</v>
      </c>
    </row>
    <row r="36" spans="1:30" x14ac:dyDescent="0.25">
      <c r="A36" s="3">
        <f>A35+100</f>
        <v>2001</v>
      </c>
      <c r="B36" s="3">
        <f t="shared" si="8"/>
        <v>2100</v>
      </c>
      <c r="C36" s="10">
        <f t="shared" si="0"/>
        <v>191.53246100000001</v>
      </c>
      <c r="D36" s="10">
        <f t="shared" si="1"/>
        <v>192.12920000000003</v>
      </c>
      <c r="E36" s="10">
        <f t="shared" si="2"/>
        <v>194.03380000000001</v>
      </c>
      <c r="F36" s="12">
        <v>1</v>
      </c>
      <c r="H36" s="35">
        <v>177.23</v>
      </c>
      <c r="I36" s="35">
        <v>179.56</v>
      </c>
      <c r="J36" s="35">
        <v>181.34</v>
      </c>
      <c r="L36" s="3">
        <f>L35+100</f>
        <v>2001</v>
      </c>
      <c r="M36" s="3">
        <f t="shared" si="9"/>
        <v>2100</v>
      </c>
      <c r="N36" s="10">
        <f t="shared" si="3"/>
        <v>176.33</v>
      </c>
      <c r="O36" s="10">
        <f t="shared" si="3"/>
        <v>178.6</v>
      </c>
      <c r="P36" s="12">
        <v>1</v>
      </c>
      <c r="R36" s="36">
        <v>176.33</v>
      </c>
      <c r="S36" s="36">
        <v>178.6</v>
      </c>
      <c r="U36" s="3">
        <f>U35+100</f>
        <v>2001</v>
      </c>
      <c r="V36" s="3">
        <f t="shared" si="10"/>
        <v>2100</v>
      </c>
      <c r="W36" s="10">
        <f>AB36*$Z36*W$42*$Z$42</f>
        <v>171.8</v>
      </c>
      <c r="X36" s="10">
        <f>AC36*$Z36*X$42*$Z$42</f>
        <v>173.45</v>
      </c>
      <c r="Y36" s="10">
        <f>AD36*$Z36*Y$42*$Z$42</f>
        <v>175.1</v>
      </c>
      <c r="Z36" s="12">
        <v>1</v>
      </c>
      <c r="AB36" s="37">
        <v>171.8</v>
      </c>
      <c r="AC36" s="37">
        <v>173.45</v>
      </c>
      <c r="AD36" s="37">
        <v>175.1</v>
      </c>
    </row>
    <row r="37" spans="1:30" x14ac:dyDescent="0.25">
      <c r="A37" s="3">
        <f t="shared" ref="A37:A40" si="14">A36+100</f>
        <v>2101</v>
      </c>
      <c r="B37" s="3">
        <f t="shared" si="8"/>
        <v>2200</v>
      </c>
      <c r="C37" s="10">
        <f t="shared" si="0"/>
        <v>197.17371499999999</v>
      </c>
      <c r="D37" s="10">
        <f t="shared" si="1"/>
        <v>198.07840000000002</v>
      </c>
      <c r="E37" s="10">
        <f t="shared" si="2"/>
        <v>200.80689999999998</v>
      </c>
      <c r="F37" s="12">
        <v>1</v>
      </c>
      <c r="H37" s="35">
        <v>182.45</v>
      </c>
      <c r="I37" s="35">
        <v>185.12</v>
      </c>
      <c r="J37" s="35">
        <v>187.67</v>
      </c>
      <c r="L37" s="3">
        <f t="shared" ref="L37:L40" si="15">L36+100</f>
        <v>2101</v>
      </c>
      <c r="M37" s="3">
        <f t="shared" si="9"/>
        <v>2200</v>
      </c>
      <c r="N37" s="10">
        <f>R37*$P37*N$42*$P$42</f>
        <v>182.55</v>
      </c>
      <c r="O37" s="10">
        <f t="shared" si="3"/>
        <v>184.12</v>
      </c>
      <c r="P37" s="12">
        <v>1</v>
      </c>
      <c r="R37" s="36">
        <v>182.55</v>
      </c>
      <c r="S37" s="36">
        <v>184.12</v>
      </c>
      <c r="U37" s="3">
        <f t="shared" ref="U37:U40" si="16">U36+100</f>
        <v>2101</v>
      </c>
      <c r="V37" s="3">
        <f t="shared" si="10"/>
        <v>2200</v>
      </c>
      <c r="W37" s="10">
        <f>AB37*$Z37*W$42*$Z$42</f>
        <v>177.55</v>
      </c>
      <c r="X37" s="10">
        <f>AC37*$Z37*X$42*$Z$42</f>
        <v>179.2</v>
      </c>
      <c r="Y37" s="10">
        <f>AD37*$Z37*Y$42*$Z$42</f>
        <v>181.85</v>
      </c>
      <c r="Z37" s="12">
        <v>1</v>
      </c>
      <c r="AB37" s="37">
        <v>177.55</v>
      </c>
      <c r="AC37" s="37">
        <v>179.2</v>
      </c>
      <c r="AD37" s="37">
        <v>181.85</v>
      </c>
    </row>
    <row r="38" spans="1:30" x14ac:dyDescent="0.25">
      <c r="A38" s="3">
        <f t="shared" si="14"/>
        <v>2201</v>
      </c>
      <c r="B38" s="3">
        <f t="shared" si="8"/>
        <v>2300</v>
      </c>
      <c r="C38" s="10">
        <f t="shared" si="0"/>
        <v>204.50086100000001</v>
      </c>
      <c r="D38" s="10">
        <f t="shared" si="1"/>
        <v>204.9692</v>
      </c>
      <c r="E38" s="10">
        <f t="shared" si="2"/>
        <v>207.4623</v>
      </c>
      <c r="F38" s="12">
        <v>1</v>
      </c>
      <c r="H38" s="35">
        <v>189.23</v>
      </c>
      <c r="I38" s="35">
        <v>191.56</v>
      </c>
      <c r="J38" s="35">
        <v>193.89</v>
      </c>
      <c r="L38" s="3">
        <f t="shared" si="15"/>
        <v>2201</v>
      </c>
      <c r="M38" s="3">
        <f t="shared" si="9"/>
        <v>2300</v>
      </c>
      <c r="N38" s="10">
        <f t="shared" si="3"/>
        <v>188.45</v>
      </c>
      <c r="O38" s="10">
        <f t="shared" si="3"/>
        <v>190.6</v>
      </c>
      <c r="P38" s="12">
        <v>1</v>
      </c>
      <c r="R38" s="36">
        <v>188.45</v>
      </c>
      <c r="S38" s="36">
        <v>190.6</v>
      </c>
      <c r="U38" s="3">
        <f t="shared" si="16"/>
        <v>2201</v>
      </c>
      <c r="V38" s="3">
        <f t="shared" si="10"/>
        <v>2300</v>
      </c>
      <c r="W38" s="10">
        <f>AB38*$Z38*W$42*$Z$42</f>
        <v>183.4</v>
      </c>
      <c r="X38" s="10">
        <f>AC38*$Z38*X$42*$Z$42</f>
        <v>185.15</v>
      </c>
      <c r="Y38" s="10">
        <f>AD38*$Z38*Y$42*$Z$42</f>
        <v>187.6</v>
      </c>
      <c r="Z38" s="12">
        <v>1</v>
      </c>
      <c r="AB38" s="37">
        <v>183.4</v>
      </c>
      <c r="AC38" s="37">
        <v>185.15</v>
      </c>
      <c r="AD38" s="37">
        <v>187.6</v>
      </c>
    </row>
    <row r="39" spans="1:30" x14ac:dyDescent="0.25">
      <c r="A39" s="3">
        <f t="shared" si="14"/>
        <v>2301</v>
      </c>
      <c r="B39" s="3">
        <f t="shared" si="8"/>
        <v>2400</v>
      </c>
      <c r="C39" s="10">
        <f t="shared" si="0"/>
        <v>210.866184</v>
      </c>
      <c r="D39" s="10">
        <f t="shared" si="1"/>
        <v>211.2715</v>
      </c>
      <c r="E39" s="10">
        <f t="shared" si="2"/>
        <v>212.57689999999999</v>
      </c>
      <c r="F39" s="12">
        <v>1</v>
      </c>
      <c r="H39" s="35">
        <v>195.12</v>
      </c>
      <c r="I39" s="35">
        <v>197.45</v>
      </c>
      <c r="J39" s="35">
        <v>198.67</v>
      </c>
      <c r="L39" s="3">
        <f t="shared" si="15"/>
        <v>2301</v>
      </c>
      <c r="M39" s="3">
        <f t="shared" si="9"/>
        <v>2400</v>
      </c>
      <c r="N39" s="10">
        <f t="shared" si="3"/>
        <v>194.12</v>
      </c>
      <c r="O39" s="10">
        <f t="shared" si="3"/>
        <v>196.55</v>
      </c>
      <c r="P39" s="12">
        <v>1</v>
      </c>
      <c r="R39" s="36">
        <v>194.12</v>
      </c>
      <c r="S39" s="36">
        <v>196.55</v>
      </c>
      <c r="U39" s="3">
        <f t="shared" si="16"/>
        <v>2301</v>
      </c>
      <c r="V39" s="3">
        <f t="shared" si="10"/>
        <v>2400</v>
      </c>
      <c r="W39" s="10">
        <f>AB39*$Z39*W$42*$Z$42</f>
        <v>189.25</v>
      </c>
      <c r="X39" s="10">
        <f>AC39*$Z39*X$42*$Z$42</f>
        <v>191.8</v>
      </c>
      <c r="Y39" s="10">
        <f>AD39*$Z39*Y$42*$Z$42</f>
        <v>195.45</v>
      </c>
      <c r="Z39" s="12">
        <v>1</v>
      </c>
      <c r="AB39" s="37">
        <v>189.25</v>
      </c>
      <c r="AC39" s="37">
        <v>191.8</v>
      </c>
      <c r="AD39" s="37">
        <v>195.45</v>
      </c>
    </row>
    <row r="40" spans="1:30" x14ac:dyDescent="0.25">
      <c r="A40" s="3">
        <f t="shared" si="14"/>
        <v>2401</v>
      </c>
      <c r="B40" s="3">
        <f t="shared" si="8"/>
        <v>2500</v>
      </c>
      <c r="C40" s="10">
        <f t="shared" si="0"/>
        <v>213.02758400000002</v>
      </c>
      <c r="D40" s="10">
        <f t="shared" si="1"/>
        <v>213.5292</v>
      </c>
      <c r="E40" s="10">
        <f t="shared" si="2"/>
        <v>213.9786</v>
      </c>
      <c r="F40" s="12">
        <v>1</v>
      </c>
      <c r="H40" s="35">
        <v>197.12</v>
      </c>
      <c r="I40" s="35">
        <v>199.56</v>
      </c>
      <c r="J40" s="35">
        <v>199.98</v>
      </c>
      <c r="L40" s="3">
        <f t="shared" si="15"/>
        <v>2401</v>
      </c>
      <c r="M40" s="3">
        <f t="shared" si="9"/>
        <v>2500</v>
      </c>
      <c r="N40" s="10">
        <f t="shared" si="3"/>
        <v>199.15</v>
      </c>
      <c r="O40" s="10">
        <f t="shared" si="3"/>
        <v>199.66</v>
      </c>
      <c r="P40" s="12">
        <v>1</v>
      </c>
      <c r="R40" s="36">
        <v>199.15</v>
      </c>
      <c r="S40" s="36">
        <v>199.66</v>
      </c>
      <c r="U40" s="3">
        <f t="shared" si="16"/>
        <v>2401</v>
      </c>
      <c r="V40" s="3">
        <f t="shared" si="10"/>
        <v>2500</v>
      </c>
      <c r="W40" s="10">
        <f>AB40*$Z40*W$42*$Z$42</f>
        <v>197.1</v>
      </c>
      <c r="X40" s="10">
        <f>AC40*$Z40*X$42*$Z$42</f>
        <v>198.55</v>
      </c>
      <c r="Y40" s="10">
        <f>AD40*$Z40*Y$42*$Z$42</f>
        <v>199.95</v>
      </c>
      <c r="Z40" s="12">
        <v>1</v>
      </c>
      <c r="AB40" s="37">
        <v>197.1</v>
      </c>
      <c r="AC40" s="37">
        <v>198.55</v>
      </c>
      <c r="AD40" s="37">
        <v>199.95</v>
      </c>
    </row>
    <row r="41" spans="1:30" ht="15" customHeight="1" x14ac:dyDescent="0.25">
      <c r="A41" s="3">
        <f>A40+100</f>
        <v>2501</v>
      </c>
      <c r="B41" s="3">
        <f t="shared" si="8"/>
        <v>2600</v>
      </c>
      <c r="C41" s="10">
        <f t="shared" si="0"/>
        <v>213.956986</v>
      </c>
      <c r="D41" s="10">
        <f t="shared" si="1"/>
        <v>213.98930000000001</v>
      </c>
      <c r="E41" s="10">
        <f t="shared" si="2"/>
        <v>214</v>
      </c>
      <c r="F41" s="12">
        <v>1</v>
      </c>
      <c r="H41" s="35">
        <v>197.98</v>
      </c>
      <c r="I41" s="35">
        <v>199.99</v>
      </c>
      <c r="J41" s="35">
        <v>200</v>
      </c>
      <c r="L41" s="3">
        <f>L40+100</f>
        <v>2501</v>
      </c>
      <c r="M41" s="3">
        <f t="shared" si="9"/>
        <v>2600</v>
      </c>
      <c r="N41" s="10">
        <f t="shared" si="3"/>
        <v>199.24</v>
      </c>
      <c r="O41" s="10">
        <f t="shared" si="3"/>
        <v>199.74</v>
      </c>
      <c r="P41" s="12">
        <v>1</v>
      </c>
      <c r="R41" s="36">
        <v>199.24</v>
      </c>
      <c r="S41" s="36">
        <v>199.74</v>
      </c>
      <c r="U41" s="3">
        <f>U40+100</f>
        <v>2501</v>
      </c>
      <c r="V41" s="3">
        <f t="shared" si="10"/>
        <v>2600</v>
      </c>
      <c r="W41" s="10">
        <f>AB41*$Z41*W$42*$Z$42</f>
        <v>197.15</v>
      </c>
      <c r="X41" s="10">
        <f>AC41*$Z41*X$42*$Z$42</f>
        <v>198.78</v>
      </c>
      <c r="Y41" s="10">
        <f>AD41*$Z41*Y$42*$Z$42</f>
        <v>199.98</v>
      </c>
      <c r="Z41" s="12">
        <v>1</v>
      </c>
      <c r="AB41" s="37">
        <v>197.15</v>
      </c>
      <c r="AC41" s="37">
        <v>198.78</v>
      </c>
      <c r="AD41" s="37">
        <v>199.98</v>
      </c>
    </row>
    <row r="42" spans="1:30" x14ac:dyDescent="0.25">
      <c r="C42" s="12">
        <v>1.01</v>
      </c>
      <c r="D42" s="12">
        <v>1</v>
      </c>
      <c r="E42" s="12">
        <v>1</v>
      </c>
      <c r="F42" s="33">
        <v>1.07</v>
      </c>
      <c r="N42" s="12">
        <v>1</v>
      </c>
      <c r="O42" s="11">
        <v>1</v>
      </c>
      <c r="P42" s="33">
        <v>1</v>
      </c>
      <c r="W42" s="12">
        <v>1</v>
      </c>
      <c r="X42" s="12">
        <v>1</v>
      </c>
      <c r="Y42" s="12">
        <v>1</v>
      </c>
      <c r="Z42" s="33">
        <v>1</v>
      </c>
    </row>
    <row r="43" spans="1:30" x14ac:dyDescent="0.25">
      <c r="A43" s="28" t="s">
        <v>2</v>
      </c>
      <c r="B43" s="28"/>
      <c r="C43" s="28" t="s">
        <v>3</v>
      </c>
      <c r="D43" s="28" t="s">
        <v>4</v>
      </c>
      <c r="E43" s="28" t="s">
        <v>5</v>
      </c>
      <c r="L43" s="28" t="s">
        <v>2</v>
      </c>
      <c r="M43" s="28"/>
      <c r="N43" s="28" t="s">
        <v>8</v>
      </c>
      <c r="O43" s="28" t="s">
        <v>16</v>
      </c>
      <c r="U43" s="28" t="s">
        <v>2</v>
      </c>
      <c r="V43" s="28"/>
      <c r="W43" s="28" t="s">
        <v>9</v>
      </c>
      <c r="X43" s="28" t="s">
        <v>10</v>
      </c>
      <c r="Y43" s="32" t="s">
        <v>11</v>
      </c>
    </row>
    <row r="44" spans="1:30" x14ac:dyDescent="0.25">
      <c r="A44" s="28"/>
      <c r="B44" s="28"/>
      <c r="C44" s="28"/>
      <c r="D44" s="28"/>
      <c r="E44" s="28"/>
      <c r="L44" s="28"/>
      <c r="M44" s="28"/>
      <c r="N44" s="28"/>
      <c r="O44" s="28"/>
      <c r="U44" s="28"/>
      <c r="V44" s="28"/>
      <c r="W44" s="28"/>
      <c r="X44" s="28"/>
      <c r="Y44" s="32"/>
    </row>
    <row r="45" spans="1:30" x14ac:dyDescent="0.25">
      <c r="A45" s="28"/>
      <c r="B45" s="28"/>
      <c r="C45" s="28"/>
      <c r="D45" s="28"/>
      <c r="E45" s="28"/>
      <c r="L45" s="28"/>
      <c r="M45" s="28"/>
      <c r="N45" s="28"/>
      <c r="O45" s="28"/>
      <c r="U45" s="28"/>
      <c r="V45" s="28"/>
      <c r="W45" s="28"/>
      <c r="X45" s="28"/>
      <c r="Y45" s="32"/>
    </row>
  </sheetData>
  <mergeCells count="14">
    <mergeCell ref="H5:J5"/>
    <mergeCell ref="R5:S5"/>
    <mergeCell ref="AB5:AD5"/>
    <mergeCell ref="D43:D45"/>
    <mergeCell ref="C43:C45"/>
    <mergeCell ref="E43:E45"/>
    <mergeCell ref="A43:B45"/>
    <mergeCell ref="U43:V45"/>
    <mergeCell ref="W43:W45"/>
    <mergeCell ref="X43:X45"/>
    <mergeCell ref="Y43:Y45"/>
    <mergeCell ref="L43:M45"/>
    <mergeCell ref="N43:N45"/>
    <mergeCell ref="O43:O45"/>
  </mergeCells>
  <conditionalFormatting sqref="C6:D41">
    <cfRule type="expression" dxfId="5" priority="6">
      <formula>C6&gt;D6</formula>
    </cfRule>
  </conditionalFormatting>
  <conditionalFormatting sqref="C6:E40">
    <cfRule type="expression" dxfId="4" priority="2">
      <formula>C6&gt;C7</formula>
    </cfRule>
  </conditionalFormatting>
  <conditionalFormatting sqref="N6:N41">
    <cfRule type="expression" dxfId="3" priority="8">
      <formula>N6&gt;O6</formula>
    </cfRule>
  </conditionalFormatting>
  <conditionalFormatting sqref="N6:O40">
    <cfRule type="expression" dxfId="2" priority="4">
      <formula>N6&gt;N7</formula>
    </cfRule>
  </conditionalFormatting>
  <conditionalFormatting sqref="W6:X41">
    <cfRule type="expression" dxfId="1" priority="1">
      <formula>W6&gt;X6</formula>
    </cfRule>
  </conditionalFormatting>
  <conditionalFormatting sqref="W6:Y40">
    <cfRule type="expression" dxfId="0" priority="11">
      <formula>W7&lt;W6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7B12B-7968-4973-9426-AB1D4431D09A}">
  <sheetPr>
    <tabColor rgb="FF00B050"/>
  </sheetPr>
  <dimension ref="A1:N91"/>
  <sheetViews>
    <sheetView workbookViewId="0">
      <selection activeCell="A84" sqref="A84"/>
    </sheetView>
  </sheetViews>
  <sheetFormatPr defaultRowHeight="15" x14ac:dyDescent="0.25"/>
  <sheetData>
    <row r="1" spans="1:14" x14ac:dyDescent="0.25">
      <c r="A1" s="6" t="s">
        <v>12</v>
      </c>
      <c r="B1" s="6" t="s">
        <v>13</v>
      </c>
      <c r="C1" s="6" t="s">
        <v>14</v>
      </c>
    </row>
    <row r="2" spans="1:14" x14ac:dyDescent="0.25">
      <c r="A2" s="7" t="s">
        <v>15</v>
      </c>
      <c r="B2" s="1" t="s">
        <v>1</v>
      </c>
    </row>
    <row r="3" spans="1:14" x14ac:dyDescent="0.25">
      <c r="A3" s="8" t="str">
        <f>$A$1&amp;"_"&amp;N3&amp;"000"</f>
        <v>DE_10000</v>
      </c>
      <c r="B3" s="2">
        <v>1</v>
      </c>
      <c r="N3">
        <v>10</v>
      </c>
    </row>
    <row r="4" spans="1:14" x14ac:dyDescent="0.25">
      <c r="A4" s="8" t="str">
        <f t="shared" ref="A4:A38" si="0">$A$1&amp;"_"&amp;N4&amp;"000"</f>
        <v>DE_11000</v>
      </c>
      <c r="B4" s="2">
        <v>1</v>
      </c>
      <c r="N4">
        <f>N3+1</f>
        <v>11</v>
      </c>
    </row>
    <row r="5" spans="1:14" x14ac:dyDescent="0.25">
      <c r="A5" s="8" t="str">
        <f t="shared" si="0"/>
        <v>DE_12000</v>
      </c>
      <c r="B5" s="2">
        <v>1</v>
      </c>
      <c r="N5">
        <f t="shared" ref="N5:N38" si="1">N4+1</f>
        <v>12</v>
      </c>
    </row>
    <row r="6" spans="1:14" x14ac:dyDescent="0.25">
      <c r="A6" s="8" t="str">
        <f t="shared" si="0"/>
        <v>DE_13000</v>
      </c>
      <c r="B6" s="2">
        <v>1</v>
      </c>
      <c r="N6">
        <f t="shared" si="1"/>
        <v>13</v>
      </c>
    </row>
    <row r="7" spans="1:14" x14ac:dyDescent="0.25">
      <c r="A7" s="8" t="str">
        <f t="shared" si="0"/>
        <v>DE_14000</v>
      </c>
      <c r="B7" s="2">
        <v>1</v>
      </c>
      <c r="N7">
        <f t="shared" si="1"/>
        <v>14</v>
      </c>
    </row>
    <row r="8" spans="1:14" x14ac:dyDescent="0.25">
      <c r="A8" s="8" t="str">
        <f t="shared" si="0"/>
        <v>DE_15000</v>
      </c>
      <c r="B8" s="2">
        <v>1</v>
      </c>
      <c r="N8">
        <f t="shared" si="1"/>
        <v>15</v>
      </c>
    </row>
    <row r="9" spans="1:14" x14ac:dyDescent="0.25">
      <c r="A9" s="8" t="str">
        <f t="shared" si="0"/>
        <v>DE_16000</v>
      </c>
      <c r="B9" s="2">
        <v>1</v>
      </c>
      <c r="N9">
        <f t="shared" si="1"/>
        <v>16</v>
      </c>
    </row>
    <row r="10" spans="1:14" x14ac:dyDescent="0.25">
      <c r="A10" s="8" t="str">
        <f t="shared" si="0"/>
        <v>DE_17000</v>
      </c>
      <c r="B10" s="2">
        <v>1</v>
      </c>
      <c r="N10">
        <f t="shared" si="1"/>
        <v>17</v>
      </c>
    </row>
    <row r="11" spans="1:14" x14ac:dyDescent="0.25">
      <c r="A11" s="8" t="str">
        <f t="shared" si="0"/>
        <v>DE_18000</v>
      </c>
      <c r="B11" s="2">
        <v>1</v>
      </c>
      <c r="N11">
        <f t="shared" si="1"/>
        <v>18</v>
      </c>
    </row>
    <row r="12" spans="1:14" x14ac:dyDescent="0.25">
      <c r="A12" s="8" t="str">
        <f t="shared" si="0"/>
        <v>DE_19000</v>
      </c>
      <c r="B12" s="2">
        <v>1</v>
      </c>
      <c r="N12">
        <f t="shared" si="1"/>
        <v>19</v>
      </c>
    </row>
    <row r="13" spans="1:14" x14ac:dyDescent="0.25">
      <c r="A13" s="8" t="str">
        <f t="shared" si="0"/>
        <v>DE_20000</v>
      </c>
      <c r="B13" s="2">
        <v>1</v>
      </c>
      <c r="N13">
        <f t="shared" si="1"/>
        <v>20</v>
      </c>
    </row>
    <row r="14" spans="1:14" x14ac:dyDescent="0.25">
      <c r="A14" s="8" t="str">
        <f t="shared" si="0"/>
        <v>DE_21000</v>
      </c>
      <c r="B14" s="2">
        <v>1</v>
      </c>
      <c r="N14">
        <f t="shared" si="1"/>
        <v>21</v>
      </c>
    </row>
    <row r="15" spans="1:14" x14ac:dyDescent="0.25">
      <c r="A15" s="8" t="str">
        <f t="shared" si="0"/>
        <v>DE_22000</v>
      </c>
      <c r="B15" s="2">
        <v>1</v>
      </c>
      <c r="N15">
        <f t="shared" si="1"/>
        <v>22</v>
      </c>
    </row>
    <row r="16" spans="1:14" x14ac:dyDescent="0.25">
      <c r="A16" s="8" t="str">
        <f t="shared" si="0"/>
        <v>DE_23000</v>
      </c>
      <c r="B16" s="2">
        <v>2</v>
      </c>
      <c r="N16">
        <f t="shared" si="1"/>
        <v>23</v>
      </c>
    </row>
    <row r="17" spans="1:14" x14ac:dyDescent="0.25">
      <c r="A17" s="8" t="str">
        <f t="shared" si="0"/>
        <v>DE_24000</v>
      </c>
      <c r="B17" s="2">
        <v>2</v>
      </c>
      <c r="N17">
        <f t="shared" si="1"/>
        <v>24</v>
      </c>
    </row>
    <row r="18" spans="1:14" x14ac:dyDescent="0.25">
      <c r="A18" s="8" t="str">
        <f t="shared" si="0"/>
        <v>DE_25000</v>
      </c>
      <c r="B18" s="2">
        <v>1</v>
      </c>
      <c r="N18">
        <f t="shared" si="1"/>
        <v>25</v>
      </c>
    </row>
    <row r="19" spans="1:14" x14ac:dyDescent="0.25">
      <c r="A19" s="8" t="str">
        <f t="shared" si="0"/>
        <v>DE_26000</v>
      </c>
      <c r="B19" s="2">
        <v>2</v>
      </c>
      <c r="N19">
        <f t="shared" si="1"/>
        <v>26</v>
      </c>
    </row>
    <row r="20" spans="1:14" x14ac:dyDescent="0.25">
      <c r="A20" s="8" t="str">
        <f t="shared" si="0"/>
        <v>DE_27000</v>
      </c>
      <c r="B20" s="2">
        <v>2</v>
      </c>
      <c r="N20">
        <f t="shared" si="1"/>
        <v>27</v>
      </c>
    </row>
    <row r="21" spans="1:14" x14ac:dyDescent="0.25">
      <c r="A21" s="8" t="str">
        <f t="shared" si="0"/>
        <v>DE_28000</v>
      </c>
      <c r="B21" s="2">
        <v>2</v>
      </c>
      <c r="N21">
        <f t="shared" si="1"/>
        <v>28</v>
      </c>
    </row>
    <row r="22" spans="1:14" x14ac:dyDescent="0.25">
      <c r="A22" s="8" t="str">
        <f t="shared" si="0"/>
        <v>DE_29000</v>
      </c>
      <c r="B22" s="2">
        <v>2</v>
      </c>
      <c r="N22">
        <f t="shared" si="1"/>
        <v>29</v>
      </c>
    </row>
    <row r="23" spans="1:14" x14ac:dyDescent="0.25">
      <c r="A23" s="8" t="str">
        <f t="shared" si="0"/>
        <v>DE_30000</v>
      </c>
      <c r="B23" s="2">
        <v>2</v>
      </c>
      <c r="N23">
        <f t="shared" si="1"/>
        <v>30</v>
      </c>
    </row>
    <row r="24" spans="1:14" x14ac:dyDescent="0.25">
      <c r="A24" s="8" t="str">
        <f t="shared" si="0"/>
        <v>DE_31000</v>
      </c>
      <c r="B24" s="2">
        <v>2</v>
      </c>
      <c r="N24">
        <f t="shared" si="1"/>
        <v>31</v>
      </c>
    </row>
    <row r="25" spans="1:14" x14ac:dyDescent="0.25">
      <c r="A25" s="8" t="str">
        <f t="shared" si="0"/>
        <v>DE_32000</v>
      </c>
      <c r="B25" s="2">
        <v>2</v>
      </c>
      <c r="N25">
        <f t="shared" si="1"/>
        <v>32</v>
      </c>
    </row>
    <row r="26" spans="1:14" x14ac:dyDescent="0.25">
      <c r="A26" s="8" t="str">
        <f t="shared" si="0"/>
        <v>DE_33000</v>
      </c>
      <c r="B26" s="2">
        <v>2</v>
      </c>
      <c r="N26">
        <f t="shared" si="1"/>
        <v>33</v>
      </c>
    </row>
    <row r="27" spans="1:14" x14ac:dyDescent="0.25">
      <c r="A27" s="8" t="str">
        <f t="shared" si="0"/>
        <v>DE_34000</v>
      </c>
      <c r="B27" s="2">
        <v>2</v>
      </c>
      <c r="N27">
        <f>N26+1</f>
        <v>34</v>
      </c>
    </row>
    <row r="28" spans="1:14" x14ac:dyDescent="0.25">
      <c r="A28" s="8" t="str">
        <f t="shared" si="0"/>
        <v>DE_35000</v>
      </c>
      <c r="B28" s="2">
        <v>3</v>
      </c>
      <c r="N28">
        <f t="shared" si="1"/>
        <v>35</v>
      </c>
    </row>
    <row r="29" spans="1:14" x14ac:dyDescent="0.25">
      <c r="A29" s="8" t="str">
        <f t="shared" si="0"/>
        <v>DE_36000</v>
      </c>
      <c r="B29" s="2">
        <v>2</v>
      </c>
      <c r="N29">
        <f t="shared" si="1"/>
        <v>36</v>
      </c>
    </row>
    <row r="30" spans="1:14" x14ac:dyDescent="0.25">
      <c r="A30" s="8" t="str">
        <f t="shared" si="0"/>
        <v>DE_37000</v>
      </c>
      <c r="B30" s="2">
        <v>3</v>
      </c>
      <c r="N30">
        <f t="shared" si="1"/>
        <v>37</v>
      </c>
    </row>
    <row r="31" spans="1:14" x14ac:dyDescent="0.25">
      <c r="A31" s="8" t="str">
        <f t="shared" si="0"/>
        <v>DE_38000</v>
      </c>
      <c r="B31" s="2">
        <v>3</v>
      </c>
      <c r="N31">
        <f t="shared" si="1"/>
        <v>38</v>
      </c>
    </row>
    <row r="32" spans="1:14" x14ac:dyDescent="0.25">
      <c r="A32" s="8" t="str">
        <f t="shared" si="0"/>
        <v>DE_39000</v>
      </c>
      <c r="B32" s="2">
        <v>2</v>
      </c>
      <c r="N32">
        <f t="shared" si="1"/>
        <v>39</v>
      </c>
    </row>
    <row r="33" spans="1:14" x14ac:dyDescent="0.25">
      <c r="A33" s="8" t="str">
        <f t="shared" si="0"/>
        <v>DE_40000</v>
      </c>
      <c r="B33" s="2">
        <v>3</v>
      </c>
      <c r="N33">
        <f t="shared" si="1"/>
        <v>40</v>
      </c>
    </row>
    <row r="34" spans="1:14" x14ac:dyDescent="0.25">
      <c r="A34" s="8" t="str">
        <f>$A$1&amp;"_"&amp;N34&amp;"000"</f>
        <v>DE_41000</v>
      </c>
      <c r="B34" s="2">
        <v>3</v>
      </c>
      <c r="N34">
        <f t="shared" si="1"/>
        <v>41</v>
      </c>
    </row>
    <row r="35" spans="1:14" x14ac:dyDescent="0.25">
      <c r="A35" s="8" t="str">
        <f t="shared" si="0"/>
        <v>DE_42000</v>
      </c>
      <c r="B35" s="2">
        <v>3</v>
      </c>
      <c r="N35">
        <f t="shared" si="1"/>
        <v>42</v>
      </c>
    </row>
    <row r="36" spans="1:14" x14ac:dyDescent="0.25">
      <c r="A36" s="8" t="str">
        <f t="shared" si="0"/>
        <v>DE_43000</v>
      </c>
      <c r="B36" s="2">
        <v>3</v>
      </c>
      <c r="N36">
        <f t="shared" si="1"/>
        <v>43</v>
      </c>
    </row>
    <row r="37" spans="1:14" x14ac:dyDescent="0.25">
      <c r="A37" s="8" t="str">
        <f t="shared" si="0"/>
        <v>DE_44000</v>
      </c>
      <c r="B37" s="2">
        <v>3</v>
      </c>
      <c r="N37">
        <f>N36+1</f>
        <v>44</v>
      </c>
    </row>
    <row r="38" spans="1:14" x14ac:dyDescent="0.25">
      <c r="A38" s="8" t="str">
        <f t="shared" si="0"/>
        <v>DE_45000</v>
      </c>
      <c r="B38" s="2">
        <v>3</v>
      </c>
      <c r="N38">
        <f t="shared" si="1"/>
        <v>45</v>
      </c>
    </row>
    <row r="39" spans="1:14" x14ac:dyDescent="0.25">
      <c r="A39" s="8" t="str">
        <f>$A$1&amp;"_"&amp;N39&amp;"000"</f>
        <v>DE_46000</v>
      </c>
      <c r="B39" s="2">
        <v>3</v>
      </c>
      <c r="N39">
        <f>N38+1</f>
        <v>46</v>
      </c>
    </row>
    <row r="40" spans="1:14" x14ac:dyDescent="0.25">
      <c r="A40" s="8" t="str">
        <f>$B$1&amp;"_"&amp;N40&amp;"00"</f>
        <v>LV_1000</v>
      </c>
      <c r="B40" s="2">
        <v>1</v>
      </c>
      <c r="N40">
        <v>10</v>
      </c>
    </row>
    <row r="41" spans="1:14" x14ac:dyDescent="0.25">
      <c r="A41" s="8" t="str">
        <f t="shared" ref="A41:A59" si="2">$B$1&amp;"_"&amp;N41&amp;"00"</f>
        <v>LV_1100</v>
      </c>
      <c r="B41" s="2">
        <v>1</v>
      </c>
      <c r="N41">
        <f>N40+1</f>
        <v>11</v>
      </c>
    </row>
    <row r="42" spans="1:14" x14ac:dyDescent="0.25">
      <c r="A42" s="8" t="str">
        <f t="shared" si="2"/>
        <v>LV_1200</v>
      </c>
      <c r="B42" s="2">
        <v>1</v>
      </c>
      <c r="N42">
        <f t="shared" ref="N42:N59" si="3">N41+1</f>
        <v>12</v>
      </c>
    </row>
    <row r="43" spans="1:14" x14ac:dyDescent="0.25">
      <c r="A43" s="8" t="str">
        <f t="shared" si="2"/>
        <v>LV_1300</v>
      </c>
      <c r="B43" s="2">
        <v>1</v>
      </c>
      <c r="N43">
        <f t="shared" si="3"/>
        <v>13</v>
      </c>
    </row>
    <row r="44" spans="1:14" x14ac:dyDescent="0.25">
      <c r="A44" s="8" t="str">
        <f t="shared" si="2"/>
        <v>LV_1400</v>
      </c>
      <c r="B44" s="2">
        <v>1</v>
      </c>
      <c r="N44">
        <f t="shared" si="3"/>
        <v>14</v>
      </c>
    </row>
    <row r="45" spans="1:14" x14ac:dyDescent="0.25">
      <c r="A45" s="8" t="str">
        <f t="shared" si="2"/>
        <v>LV_1500</v>
      </c>
      <c r="B45" s="2">
        <v>1</v>
      </c>
      <c r="N45">
        <f t="shared" si="3"/>
        <v>15</v>
      </c>
    </row>
    <row r="46" spans="1:14" x14ac:dyDescent="0.25">
      <c r="A46" s="8" t="str">
        <f t="shared" si="2"/>
        <v>LV_1600</v>
      </c>
      <c r="B46" s="2">
        <v>2</v>
      </c>
      <c r="N46">
        <f t="shared" si="3"/>
        <v>16</v>
      </c>
    </row>
    <row r="47" spans="1:14" x14ac:dyDescent="0.25">
      <c r="A47" s="8" t="str">
        <f t="shared" si="2"/>
        <v>LV_1700</v>
      </c>
      <c r="B47" s="2">
        <v>1</v>
      </c>
      <c r="N47">
        <f t="shared" si="3"/>
        <v>17</v>
      </c>
    </row>
    <row r="48" spans="1:14" x14ac:dyDescent="0.25">
      <c r="A48" s="8" t="str">
        <f t="shared" si="2"/>
        <v>LV_1800</v>
      </c>
      <c r="B48" s="2">
        <v>2</v>
      </c>
      <c r="N48">
        <f t="shared" si="3"/>
        <v>18</v>
      </c>
    </row>
    <row r="49" spans="1:14" x14ac:dyDescent="0.25">
      <c r="A49" s="8" t="str">
        <f t="shared" si="2"/>
        <v>LV_1900</v>
      </c>
      <c r="B49" s="2">
        <v>2</v>
      </c>
      <c r="N49">
        <f t="shared" si="3"/>
        <v>19</v>
      </c>
    </row>
    <row r="50" spans="1:14" x14ac:dyDescent="0.25">
      <c r="A50" s="8" t="str">
        <f t="shared" si="2"/>
        <v>LV_2000</v>
      </c>
      <c r="B50" s="2">
        <v>2</v>
      </c>
      <c r="N50">
        <f t="shared" si="3"/>
        <v>20</v>
      </c>
    </row>
    <row r="51" spans="1:14" x14ac:dyDescent="0.25">
      <c r="A51" s="8" t="str">
        <f t="shared" si="2"/>
        <v>LV_2100</v>
      </c>
      <c r="B51" s="2">
        <v>2</v>
      </c>
      <c r="N51">
        <f t="shared" si="3"/>
        <v>21</v>
      </c>
    </row>
    <row r="52" spans="1:14" x14ac:dyDescent="0.25">
      <c r="A52" s="8" t="str">
        <f t="shared" si="2"/>
        <v>LV_2200</v>
      </c>
      <c r="B52" s="2">
        <v>2</v>
      </c>
      <c r="N52">
        <f t="shared" si="3"/>
        <v>22</v>
      </c>
    </row>
    <row r="53" spans="1:14" x14ac:dyDescent="0.25">
      <c r="A53" s="8" t="str">
        <f t="shared" si="2"/>
        <v>LV_2300</v>
      </c>
      <c r="B53" s="2">
        <v>2</v>
      </c>
      <c r="N53">
        <f t="shared" si="3"/>
        <v>23</v>
      </c>
    </row>
    <row r="54" spans="1:14" x14ac:dyDescent="0.25">
      <c r="A54" s="8" t="str">
        <f t="shared" si="2"/>
        <v>LV_2400</v>
      </c>
      <c r="B54" s="2">
        <v>2</v>
      </c>
      <c r="N54">
        <f t="shared" si="3"/>
        <v>24</v>
      </c>
    </row>
    <row r="55" spans="1:14" x14ac:dyDescent="0.25">
      <c r="A55" s="8" t="str">
        <f t="shared" si="2"/>
        <v>LV_2500</v>
      </c>
      <c r="B55" s="2">
        <v>2</v>
      </c>
      <c r="N55">
        <f t="shared" si="3"/>
        <v>25</v>
      </c>
    </row>
    <row r="56" spans="1:14" x14ac:dyDescent="0.25">
      <c r="A56" s="8" t="str">
        <f t="shared" si="2"/>
        <v>LV_2600</v>
      </c>
      <c r="B56" s="2">
        <v>2</v>
      </c>
      <c r="N56">
        <f t="shared" si="3"/>
        <v>26</v>
      </c>
    </row>
    <row r="57" spans="1:14" x14ac:dyDescent="0.25">
      <c r="A57" s="8" t="str">
        <f t="shared" si="2"/>
        <v>LV_2700</v>
      </c>
      <c r="B57" s="2">
        <v>2</v>
      </c>
      <c r="N57">
        <f t="shared" si="3"/>
        <v>27</v>
      </c>
    </row>
    <row r="58" spans="1:14" x14ac:dyDescent="0.25">
      <c r="A58" s="8" t="str">
        <f t="shared" si="2"/>
        <v>LV_2800</v>
      </c>
      <c r="B58" s="2">
        <v>2</v>
      </c>
      <c r="N58">
        <f t="shared" si="3"/>
        <v>28</v>
      </c>
    </row>
    <row r="59" spans="1:14" x14ac:dyDescent="0.25">
      <c r="A59" s="8" t="str">
        <f t="shared" si="2"/>
        <v>LV_2900</v>
      </c>
      <c r="B59" s="2">
        <v>2</v>
      </c>
      <c r="N59">
        <f t="shared" si="3"/>
        <v>29</v>
      </c>
    </row>
    <row r="60" spans="1:14" x14ac:dyDescent="0.25">
      <c r="A60" s="8" t="str">
        <f>$C$1&amp;"_"&amp;N60&amp;"000"</f>
        <v>CZ_10000</v>
      </c>
      <c r="B60" s="2">
        <v>1</v>
      </c>
      <c r="N60">
        <v>10</v>
      </c>
    </row>
    <row r="61" spans="1:14" x14ac:dyDescent="0.25">
      <c r="A61" s="8" t="str">
        <f t="shared" ref="A61:A91" si="4">$C$1&amp;"_"&amp;N61&amp;"000"</f>
        <v>CZ_11000</v>
      </c>
      <c r="B61" s="2">
        <v>1</v>
      </c>
      <c r="N61">
        <f>N60+1</f>
        <v>11</v>
      </c>
    </row>
    <row r="62" spans="1:14" x14ac:dyDescent="0.25">
      <c r="A62" s="8" t="str">
        <f t="shared" si="4"/>
        <v>CZ_12000</v>
      </c>
      <c r="B62" s="2">
        <v>1</v>
      </c>
      <c r="N62">
        <f t="shared" ref="N62:N91" si="5">N61+1</f>
        <v>12</v>
      </c>
    </row>
    <row r="63" spans="1:14" x14ac:dyDescent="0.25">
      <c r="A63" s="8" t="str">
        <f t="shared" si="4"/>
        <v>CZ_13000</v>
      </c>
      <c r="B63" s="2">
        <v>1</v>
      </c>
      <c r="N63">
        <f t="shared" si="5"/>
        <v>13</v>
      </c>
    </row>
    <row r="64" spans="1:14" x14ac:dyDescent="0.25">
      <c r="A64" s="8" t="str">
        <f t="shared" si="4"/>
        <v>CZ_14000</v>
      </c>
      <c r="B64" s="2">
        <v>1</v>
      </c>
      <c r="N64">
        <f t="shared" si="5"/>
        <v>14</v>
      </c>
    </row>
    <row r="65" spans="1:14" x14ac:dyDescent="0.25">
      <c r="A65" s="8" t="str">
        <f t="shared" si="4"/>
        <v>CZ_15000</v>
      </c>
      <c r="B65" s="2">
        <v>1</v>
      </c>
      <c r="N65">
        <f t="shared" si="5"/>
        <v>15</v>
      </c>
    </row>
    <row r="66" spans="1:14" x14ac:dyDescent="0.25">
      <c r="A66" s="8" t="str">
        <f t="shared" si="4"/>
        <v>CZ_16000</v>
      </c>
      <c r="B66" s="2">
        <v>1</v>
      </c>
      <c r="N66">
        <f t="shared" si="5"/>
        <v>16</v>
      </c>
    </row>
    <row r="67" spans="1:14" x14ac:dyDescent="0.25">
      <c r="A67" s="8" t="str">
        <f t="shared" si="4"/>
        <v>CZ_17000</v>
      </c>
      <c r="B67" s="2">
        <v>1</v>
      </c>
      <c r="N67">
        <f t="shared" si="5"/>
        <v>17</v>
      </c>
    </row>
    <row r="68" spans="1:14" x14ac:dyDescent="0.25">
      <c r="A68" s="8" t="str">
        <f t="shared" si="4"/>
        <v>CZ_18000</v>
      </c>
      <c r="B68" s="2">
        <v>1</v>
      </c>
      <c r="N68">
        <f t="shared" si="5"/>
        <v>18</v>
      </c>
    </row>
    <row r="69" spans="1:14" x14ac:dyDescent="0.25">
      <c r="A69" s="8" t="str">
        <f t="shared" si="4"/>
        <v>CZ_19000</v>
      </c>
      <c r="B69" s="2">
        <v>1</v>
      </c>
      <c r="N69">
        <f t="shared" si="5"/>
        <v>19</v>
      </c>
    </row>
    <row r="70" spans="1:14" x14ac:dyDescent="0.25">
      <c r="A70" s="8" t="str">
        <f t="shared" si="4"/>
        <v>CZ_20000</v>
      </c>
      <c r="B70" s="2">
        <v>1</v>
      </c>
      <c r="N70">
        <f t="shared" si="5"/>
        <v>20</v>
      </c>
    </row>
    <row r="71" spans="1:14" x14ac:dyDescent="0.25">
      <c r="A71" s="8" t="str">
        <f t="shared" si="4"/>
        <v>CZ_21000</v>
      </c>
      <c r="B71" s="2">
        <v>2</v>
      </c>
      <c r="N71">
        <f t="shared" si="5"/>
        <v>21</v>
      </c>
    </row>
    <row r="72" spans="1:14" x14ac:dyDescent="0.25">
      <c r="A72" s="8" t="str">
        <f t="shared" si="4"/>
        <v>CZ_22000</v>
      </c>
      <c r="B72" s="2">
        <v>2</v>
      </c>
      <c r="N72">
        <f t="shared" si="5"/>
        <v>22</v>
      </c>
    </row>
    <row r="73" spans="1:14" x14ac:dyDescent="0.25">
      <c r="A73" s="8" t="str">
        <f t="shared" si="4"/>
        <v>CZ_23000</v>
      </c>
      <c r="B73" s="2">
        <v>2</v>
      </c>
      <c r="N73">
        <f t="shared" si="5"/>
        <v>23</v>
      </c>
    </row>
    <row r="74" spans="1:14" x14ac:dyDescent="0.25">
      <c r="A74" s="8" t="str">
        <f t="shared" si="4"/>
        <v>CZ_24000</v>
      </c>
      <c r="B74" s="2">
        <v>1</v>
      </c>
      <c r="N74">
        <f t="shared" si="5"/>
        <v>24</v>
      </c>
    </row>
    <row r="75" spans="1:14" x14ac:dyDescent="0.25">
      <c r="A75" s="8" t="str">
        <f t="shared" si="4"/>
        <v>CZ_25000</v>
      </c>
      <c r="B75" s="2">
        <v>2</v>
      </c>
      <c r="N75">
        <f t="shared" si="5"/>
        <v>25</v>
      </c>
    </row>
    <row r="76" spans="1:14" x14ac:dyDescent="0.25">
      <c r="A76" s="8" t="str">
        <f t="shared" si="4"/>
        <v>CZ_26000</v>
      </c>
      <c r="B76" s="2">
        <v>2</v>
      </c>
      <c r="N76">
        <f t="shared" si="5"/>
        <v>26</v>
      </c>
    </row>
    <row r="77" spans="1:14" x14ac:dyDescent="0.25">
      <c r="A77" s="8" t="str">
        <f t="shared" si="4"/>
        <v>CZ_27000</v>
      </c>
      <c r="B77" s="2">
        <v>2</v>
      </c>
      <c r="N77">
        <f t="shared" si="5"/>
        <v>27</v>
      </c>
    </row>
    <row r="78" spans="1:14" x14ac:dyDescent="0.25">
      <c r="A78" s="8" t="str">
        <f t="shared" si="4"/>
        <v>CZ_28000</v>
      </c>
      <c r="B78" s="2">
        <v>2</v>
      </c>
      <c r="N78">
        <f t="shared" si="5"/>
        <v>28</v>
      </c>
    </row>
    <row r="79" spans="1:14" x14ac:dyDescent="0.25">
      <c r="A79" s="8" t="str">
        <f t="shared" si="4"/>
        <v>CZ_29000</v>
      </c>
      <c r="B79" s="2">
        <v>2</v>
      </c>
      <c r="N79">
        <f t="shared" si="5"/>
        <v>29</v>
      </c>
    </row>
    <row r="80" spans="1:14" x14ac:dyDescent="0.25">
      <c r="A80" s="8" t="str">
        <f>$C$1&amp;"_"&amp;N80&amp;"000"</f>
        <v>CZ_30000</v>
      </c>
      <c r="B80" s="2">
        <v>2</v>
      </c>
      <c r="N80">
        <f>N79+1</f>
        <v>30</v>
      </c>
    </row>
    <row r="81" spans="1:14" x14ac:dyDescent="0.25">
      <c r="A81" s="8" t="str">
        <f t="shared" si="4"/>
        <v>CZ_31000</v>
      </c>
      <c r="B81" s="2">
        <v>2</v>
      </c>
      <c r="N81">
        <f t="shared" si="5"/>
        <v>31</v>
      </c>
    </row>
    <row r="82" spans="1:14" x14ac:dyDescent="0.25">
      <c r="A82" s="8" t="str">
        <f t="shared" si="4"/>
        <v>CZ_32000</v>
      </c>
      <c r="B82" s="2">
        <v>3</v>
      </c>
      <c r="N82">
        <f t="shared" si="5"/>
        <v>32</v>
      </c>
    </row>
    <row r="83" spans="1:14" x14ac:dyDescent="0.25">
      <c r="A83" s="8" t="str">
        <f t="shared" si="4"/>
        <v>CZ_33000</v>
      </c>
      <c r="B83" s="2">
        <v>3</v>
      </c>
      <c r="N83">
        <f t="shared" si="5"/>
        <v>33</v>
      </c>
    </row>
    <row r="84" spans="1:14" x14ac:dyDescent="0.25">
      <c r="A84" s="8" t="str">
        <f t="shared" si="4"/>
        <v>CZ_34000</v>
      </c>
      <c r="B84" s="2">
        <v>3</v>
      </c>
      <c r="N84">
        <f>N83+1</f>
        <v>34</v>
      </c>
    </row>
    <row r="85" spans="1:14" x14ac:dyDescent="0.25">
      <c r="A85" s="8" t="str">
        <f t="shared" si="4"/>
        <v>CZ_35000</v>
      </c>
      <c r="B85" s="2">
        <v>3</v>
      </c>
      <c r="N85">
        <f t="shared" si="5"/>
        <v>35</v>
      </c>
    </row>
    <row r="86" spans="1:14" x14ac:dyDescent="0.25">
      <c r="A86" s="8" t="str">
        <f t="shared" si="4"/>
        <v>CZ_36000</v>
      </c>
      <c r="B86" s="2">
        <v>3</v>
      </c>
      <c r="N86">
        <f t="shared" si="5"/>
        <v>36</v>
      </c>
    </row>
    <row r="87" spans="1:14" x14ac:dyDescent="0.25">
      <c r="A87" s="8" t="str">
        <f t="shared" si="4"/>
        <v>CZ_37000</v>
      </c>
      <c r="B87" s="2">
        <v>3</v>
      </c>
      <c r="N87">
        <f t="shared" si="5"/>
        <v>37</v>
      </c>
    </row>
    <row r="88" spans="1:14" x14ac:dyDescent="0.25">
      <c r="A88" s="8" t="str">
        <f t="shared" si="4"/>
        <v>CZ_38000</v>
      </c>
      <c r="B88" s="2">
        <v>3</v>
      </c>
      <c r="N88">
        <f t="shared" si="5"/>
        <v>38</v>
      </c>
    </row>
    <row r="89" spans="1:14" x14ac:dyDescent="0.25">
      <c r="A89" s="8" t="str">
        <f t="shared" si="4"/>
        <v>CZ_39000</v>
      </c>
      <c r="B89" s="2">
        <v>3</v>
      </c>
      <c r="N89">
        <f t="shared" si="5"/>
        <v>39</v>
      </c>
    </row>
    <row r="90" spans="1:14" x14ac:dyDescent="0.25">
      <c r="A90" s="8" t="str">
        <f t="shared" si="4"/>
        <v>CZ_40000</v>
      </c>
      <c r="B90" s="2">
        <v>3</v>
      </c>
      <c r="N90">
        <f t="shared" si="5"/>
        <v>40</v>
      </c>
    </row>
    <row r="91" spans="1:14" x14ac:dyDescent="0.25">
      <c r="A91" s="8" t="str">
        <f t="shared" si="4"/>
        <v>CZ_41000</v>
      </c>
      <c r="B91" s="2">
        <v>3</v>
      </c>
      <c r="N91">
        <f t="shared" si="5"/>
        <v>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B103F0-1AD2-482B-AC6B-53906094E6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3</vt:i4>
      </vt:variant>
    </vt:vector>
  </HeadingPairs>
  <TitlesOfParts>
    <vt:vector size="6" baseType="lpstr">
      <vt:lpstr>Kalkulator</vt:lpstr>
      <vt:lpstr>Tabela cen</vt:lpstr>
      <vt:lpstr>Strefy</vt:lpstr>
      <vt:lpstr>CZ</vt:lpstr>
      <vt:lpstr>DE</vt:lpstr>
      <vt:lpstr>LV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Łukasz Ratka</cp:lastModifiedBy>
  <dcterms:created xsi:type="dcterms:W3CDTF">2026-01-18T10:13:09Z</dcterms:created>
  <dcterms:modified xsi:type="dcterms:W3CDTF">2026-02-25T08:24:45Z</dcterms:modified>
</cp:coreProperties>
</file>